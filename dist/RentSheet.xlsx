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PROPERTIES" sheetId="3" state="visible" r:id="rId3"/>
    <sheet xmlns:r="http://schemas.openxmlformats.org/officeDocument/2006/relationships" name="RENT LOG" sheetId="4" state="visible" r:id="rId4"/>
    <sheet xmlns:r="http://schemas.openxmlformats.org/officeDocument/2006/relationships" name="EXPENSES" sheetId="5" state="visible" r:id="rId5"/>
  </sheets>
  <definedNames>
    <definedName name="_xlnm._FilterDatabase" localSheetId="2" hidden="1">'PROPERTIES'!$A$1:$G$201</definedName>
    <definedName name="_xlnm._FilterDatabase" localSheetId="3" hidden="1">'RENT LOG'!$A$1:$G$201</definedName>
    <definedName name="_xlnm._FilterDatabase" localSheetId="4" hidden="1">'EXPENSES'!$A$1:$E$201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3">
    <font>
      <name val="Calibri"/>
      <family val="2"/>
      <color theme="1"/>
      <sz val="11"/>
      <scheme val="minor"/>
    </font>
    <font>
      <b val="1"/>
      <color rgb="00101828"/>
      <sz val="16"/>
    </font>
    <font>
      <color rgb="00667085"/>
      <sz val="12"/>
    </font>
    <font>
      <b val="1"/>
      <color rgb="00101828"/>
      <sz val="12"/>
    </font>
    <font>
      <sz val="11"/>
    </font>
    <font>
      <color rgb="00667085"/>
      <sz val="9"/>
    </font>
    <font>
      <b val="1"/>
      <color rgb="00FFFFFF"/>
      <sz val="11"/>
    </font>
    <font>
      <color rgb="00667085"/>
      <sz val="10"/>
    </font>
    <font>
      <b val="1"/>
      <color rgb="00667085"/>
      <sz val="11"/>
    </font>
    <font>
      <b val="1"/>
      <color rgb="00101828"/>
      <sz val="18"/>
    </font>
    <font>
      <b val="1"/>
      <sz val="11"/>
    </font>
    <font>
      <b val="1"/>
      <color rgb="00667085"/>
      <sz val="9"/>
    </font>
    <font>
      <sz val="10"/>
    </font>
  </fonts>
  <fills count="7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5F8FF"/>
      </patternFill>
    </fill>
    <fill>
      <patternFill patternType="solid">
        <fgColor rgb="00FEF7E6"/>
      </patternFill>
    </fill>
    <fill>
      <patternFill patternType="solid">
        <fgColor rgb="00E9F9F1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E4E7EC"/>
      </left>
      <right style="thin">
        <color rgb="00E4E7EC"/>
      </right>
      <top style="thin">
        <color rgb="00E4E7EC"/>
      </top>
      <bottom style="thin">
        <color rgb="00E4E7E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0" fontId="8" fillId="3" borderId="0" pivotButton="0" quotePrefix="0" xfId="0"/>
    <xf numFmtId="0" fontId="0" fillId="3" borderId="0" pivotButton="0" quotePrefix="0" xfId="0"/>
    <xf numFmtId="4" fontId="9" fillId="3" borderId="0" pivotButton="0" quotePrefix="0" xfId="0"/>
    <xf numFmtId="0" fontId="8" fillId="4" borderId="0" pivotButton="0" quotePrefix="0" xfId="0"/>
    <xf numFmtId="0" fontId="0" fillId="4" borderId="0" pivotButton="0" quotePrefix="0" xfId="0"/>
    <xf numFmtId="0" fontId="8" fillId="5" borderId="0" pivotButton="0" quotePrefix="0" xfId="0"/>
    <xf numFmtId="0" fontId="0" fillId="5" borderId="0" pivotButton="0" quotePrefix="0" xfId="0"/>
    <xf numFmtId="4" fontId="9" fillId="4" borderId="0" pivotButton="0" quotePrefix="0" xfId="0"/>
    <xf numFmtId="165" fontId="9" fillId="5" borderId="0" pivotButton="0" quotePrefix="0" xfId="0"/>
    <xf numFmtId="4" fontId="9" fillId="5" borderId="0" pivotButton="0" quotePrefix="0" xfId="0"/>
    <xf numFmtId="0" fontId="8" fillId="6" borderId="0" pivotButton="0" quotePrefix="0" xfId="0"/>
    <xf numFmtId="0" fontId="0" fillId="6" borderId="0" pivotButton="0" quotePrefix="0" xfId="0"/>
    <xf numFmtId="1" fontId="9" fillId="6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4" fontId="12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dxfs count="2">
    <dxf>
      <font>
        <b val="1"/>
        <color rgb="00DC2626"/>
      </font>
      <fill>
        <patternFill patternType="solid">
          <fgColor rgb="00FEE2E2"/>
        </patternFill>
      </fill>
    </dxf>
    <dxf>
      <font>
        <b val="1"/>
        <color rgb="00B45309"/>
      </font>
      <fill>
        <patternFill patternType="solid">
          <fgColor rgb="00FEF7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4" customWidth="1" min="4" max="4"/>
    <col width="30" customWidth="1" min="5" max="5"/>
    <col width="18" customWidth="1" min="6" max="6"/>
    <col width="4" customWidth="1" min="7" max="7"/>
  </cols>
  <sheetData>
    <row r="2">
      <c r="B2" s="1" t="inlineStr">
        <is>
          <t>🏠 RENTAL DASHBOARD</t>
        </is>
      </c>
    </row>
    <row r="3">
      <c r="B3" s="2" t="inlineStr">
        <is>
          <t>Auto-computed — do not edit</t>
        </is>
      </c>
    </row>
    <row r="5">
      <c r="B5" s="3" t="inlineStr">
        <is>
          <t>RENT COLLECTED (all time)</t>
        </is>
      </c>
      <c r="C5" s="4" t="n"/>
      <c r="E5" s="3" t="inlineStr">
        <is>
          <t>RENT EXPECTED (all time)</t>
        </is>
      </c>
      <c r="F5" s="4" t="n"/>
    </row>
    <row r="6">
      <c r="B6" s="5">
        <f>SUM('RENT LOG'!D2:D201)</f>
        <v/>
      </c>
      <c r="C6" s="4" t="n"/>
      <c r="E6" s="5">
        <f>SUM('RENT LOG'!C2:C201)</f>
        <v/>
      </c>
      <c r="F6" s="4" t="n"/>
    </row>
    <row r="8">
      <c r="B8" s="6" t="inlineStr">
        <is>
          <t>UNPAID BALANCE</t>
        </is>
      </c>
      <c r="C8" s="7" t="n"/>
      <c r="E8" s="8" t="inlineStr">
        <is>
          <t>COLLECTION RATE</t>
        </is>
      </c>
      <c r="F8" s="9" t="n"/>
    </row>
    <row r="9">
      <c r="B9" s="10">
        <f>SUM('RENT LOG'!F2:F201)</f>
        <v/>
      </c>
      <c r="C9" s="7" t="n"/>
      <c r="E9" s="11">
        <f>IF(SUM('RENT LOG'!C2:C201)=0,0,SUM('RENT LOG'!D2:D201)/SUM('RENT LOG'!C2:C201))</f>
        <v/>
      </c>
      <c r="F9" s="9" t="n"/>
    </row>
    <row r="11">
      <c r="B11" s="3" t="inlineStr">
        <is>
          <t>TOTAL EXPENSES</t>
        </is>
      </c>
      <c r="C11" s="4" t="n"/>
      <c r="E11" s="8" t="inlineStr">
        <is>
          <t>NET INCOME (rent − expenses)</t>
        </is>
      </c>
      <c r="F11" s="9" t="n"/>
    </row>
    <row r="12">
      <c r="B12" s="5">
        <f>SUM(EXPENSES!E2:E201)</f>
        <v/>
      </c>
      <c r="C12" s="4" t="n"/>
      <c r="E12" s="12">
        <f>SUM('RENT LOG'!D2:D201)-SUM(EXPENSES!E2:E201)</f>
        <v/>
      </c>
      <c r="F12" s="9" t="n"/>
    </row>
    <row r="14">
      <c r="B14" s="13" t="inlineStr">
        <is>
          <t>UNITS WITH LATE/PARTIAL RENT</t>
        </is>
      </c>
      <c r="C14" s="14" t="n"/>
      <c r="E14" s="13" t="inlineStr">
        <is>
          <t>EXPIRED LEASES</t>
        </is>
      </c>
      <c r="F14" s="14" t="n"/>
    </row>
    <row r="15">
      <c r="B15" s="15">
        <f>COUNTIF('RENT LOG'!G2:G201,"🔴 LATE")+COUNTIF('RENT LOG'!G2:G201,"🟡 PARTIAL")</f>
        <v/>
      </c>
      <c r="C15" s="14" t="n"/>
      <c r="E15" s="15">
        <f>COUNTIF(PROPERTIES!F2:F201,"⚠️ EXPIRED")</f>
        <v/>
      </c>
      <c r="F15" s="14" t="n"/>
    </row>
    <row r="17">
      <c r="B17" s="16" t="inlineStr">
        <is>
          <t>PER-UNIT SUMMARY</t>
        </is>
      </c>
    </row>
    <row r="18">
      <c r="B18" s="17" t="inlineStr">
        <is>
          <t>Unit</t>
        </is>
      </c>
      <c r="C18" s="17" t="inlineStr">
        <is>
          <t>Collected (₱)</t>
        </is>
      </c>
      <c r="D18" s="17" t="inlineStr">
        <is>
          <t>Expenses (₱)</t>
        </is>
      </c>
      <c r="E18" s="17" t="inlineStr">
        <is>
          <t>Rent due</t>
        </is>
      </c>
    </row>
    <row r="19">
      <c r="B19" s="18">
        <f>IF(PROPERTIES!A2="","",PROPERTIES!A2)</f>
        <v/>
      </c>
      <c r="C19" s="19">
        <f>IF(PROPERTIES!A2="","",SUMIF('RENT LOG'!B:B,PROPERTIES!A2,'RENT LOG'!D:D))</f>
        <v/>
      </c>
      <c r="D19" s="19">
        <f>IF(PROPERTIES!A2="","",SUMIF(EXPENSES!B:B,PROPERTIES!A2,EXPENSES!E:E))</f>
        <v/>
      </c>
      <c r="E19" s="19">
        <f>IF(PROPERTIES!A2="","",SUMIF('RENT LOG'!B:B,PROPERTIES!A2,'RENT LOG'!C:C))</f>
        <v/>
      </c>
    </row>
    <row r="20">
      <c r="B20" s="18">
        <f>IF(PROPERTIES!A3="","",PROPERTIES!A3)</f>
        <v/>
      </c>
      <c r="C20" s="19">
        <f>IF(PROPERTIES!A3="","",SUMIF('RENT LOG'!B:B,PROPERTIES!A3,'RENT LOG'!D:D))</f>
        <v/>
      </c>
      <c r="D20" s="19">
        <f>IF(PROPERTIES!A3="","",SUMIF(EXPENSES!B:B,PROPERTIES!A3,EXPENSES!E:E))</f>
        <v/>
      </c>
      <c r="E20" s="19">
        <f>IF(PROPERTIES!A3="","",SUMIF('RENT LOG'!B:B,PROPERTIES!A3,'RENT LOG'!C:C))</f>
        <v/>
      </c>
    </row>
    <row r="21">
      <c r="B21" s="18">
        <f>IF(PROPERTIES!A4="","",PROPERTIES!A4)</f>
        <v/>
      </c>
      <c r="C21" s="19">
        <f>IF(PROPERTIES!A4="","",SUMIF('RENT LOG'!B:B,PROPERTIES!A4,'RENT LOG'!D:D))</f>
        <v/>
      </c>
      <c r="D21" s="19">
        <f>IF(PROPERTIES!A4="","",SUMIF(EXPENSES!B:B,PROPERTIES!A4,EXPENSES!E:E))</f>
        <v/>
      </c>
      <c r="E21" s="19">
        <f>IF(PROPERTIES!A4="","",SUMIF('RENT LOG'!B:B,PROPERTIES!A4,'RENT LOG'!C:C))</f>
        <v/>
      </c>
    </row>
    <row r="22">
      <c r="B22" s="18">
        <f>IF(PROPERTIES!A5="","",PROPERTIES!A5)</f>
        <v/>
      </c>
      <c r="C22" s="19">
        <f>IF(PROPERTIES!A5="","",SUMIF('RENT LOG'!B:B,PROPERTIES!A5,'RENT LOG'!D:D))</f>
        <v/>
      </c>
      <c r="D22" s="19">
        <f>IF(PROPERTIES!A5="","",SUMIF(EXPENSES!B:B,PROPERTIES!A5,EXPENSES!E:E))</f>
        <v/>
      </c>
      <c r="E22" s="19">
        <f>IF(PROPERTIES!A5="","",SUMIF('RENT LOG'!B:B,PROPERTIES!A5,'RENT LOG'!C:C))</f>
        <v/>
      </c>
    </row>
    <row r="23">
      <c r="B23" s="18">
        <f>IF(PROPERTIES!A6="","",PROPERTIES!A6)</f>
        <v/>
      </c>
      <c r="C23" s="19">
        <f>IF(PROPERTIES!A6="","",SUMIF('RENT LOG'!B:B,PROPERTIES!A6,'RENT LOG'!D:D))</f>
        <v/>
      </c>
      <c r="D23" s="19">
        <f>IF(PROPERTIES!A6="","",SUMIF(EXPENSES!B:B,PROPERTIES!A6,EXPENSES!E:E))</f>
        <v/>
      </c>
      <c r="E23" s="19">
        <f>IF(PROPERTIES!A6="","",SUMIF('RENT LOG'!B:B,PROPERTIES!A6,'RENT LOG'!C:C))</f>
        <v/>
      </c>
    </row>
    <row r="24">
      <c r="B24" s="18">
        <f>IF(PROPERTIES!A7="","",PROPERTIES!A7)</f>
        <v/>
      </c>
      <c r="C24" s="19">
        <f>IF(PROPERTIES!A7="","",SUMIF('RENT LOG'!B:B,PROPERTIES!A7,'RENT LOG'!D:D))</f>
        <v/>
      </c>
      <c r="D24" s="19">
        <f>IF(PROPERTIES!A7="","",SUMIF(EXPENSES!B:B,PROPERTIES!A7,EXPENSES!E:E))</f>
        <v/>
      </c>
      <c r="E24" s="19">
        <f>IF(PROPERTIES!A7="","",SUMIF('RENT LOG'!B:B,PROPERTIES!A7,'RENT LOG'!C:C))</f>
        <v/>
      </c>
    </row>
    <row r="25">
      <c r="B25" s="18">
        <f>IF(PROPERTIES!A8="","",PROPERTIES!A8)</f>
        <v/>
      </c>
      <c r="C25" s="19">
        <f>IF(PROPERTIES!A8="","",SUMIF('RENT LOG'!B:B,PROPERTIES!A8,'RENT LOG'!D:D))</f>
        <v/>
      </c>
      <c r="D25" s="19">
        <f>IF(PROPERTIES!A8="","",SUMIF(EXPENSES!B:B,PROPERTIES!A8,EXPENSES!E:E))</f>
        <v/>
      </c>
      <c r="E25" s="19">
        <f>IF(PROPERTIES!A8="","",SUMIF('RENT LOG'!B:B,PROPERTIES!A8,'RENT LOG'!C:C))</f>
        <v/>
      </c>
    </row>
    <row r="26">
      <c r="B26" s="18">
        <f>IF(PROPERTIES!A9="","",PROPERTIES!A9)</f>
        <v/>
      </c>
      <c r="C26" s="19">
        <f>IF(PROPERTIES!A9="","",SUMIF('RENT LOG'!B:B,PROPERTIES!A9,'RENT LOG'!D:D))</f>
        <v/>
      </c>
      <c r="D26" s="19">
        <f>IF(PROPERTIES!A9="","",SUMIF(EXPENSES!B:B,PROPERTIES!A9,EXPENSES!E:E))</f>
        <v/>
      </c>
      <c r="E26" s="19">
        <f>IF(PROPERTIES!A9="","",SUMIF('RENT LOG'!B:B,PROPERTIES!A9,'RENT LOG'!C:C))</f>
        <v/>
      </c>
    </row>
    <row r="27">
      <c r="B27" s="18">
        <f>IF(PROPERTIES!A10="","",PROPERTIES!A10)</f>
        <v/>
      </c>
      <c r="C27" s="19">
        <f>IF(PROPERTIES!A10="","",SUMIF('RENT LOG'!B:B,PROPERTIES!A10,'RENT LOG'!D:D))</f>
        <v/>
      </c>
      <c r="D27" s="19">
        <f>IF(PROPERTIES!A10="","",SUMIF(EXPENSES!B:B,PROPERTIES!A10,EXPENSES!E:E))</f>
        <v/>
      </c>
      <c r="E27" s="19">
        <f>IF(PROPERTIES!A10="","",SUMIF('RENT LOG'!B:B,PROPERTIES!A10,'RENT LOG'!C:C))</f>
        <v/>
      </c>
    </row>
    <row r="28">
      <c r="B28" s="18">
        <f>IF(PROPERTIES!A11="","",PROPERTIES!A11)</f>
        <v/>
      </c>
      <c r="C28" s="19">
        <f>IF(PROPERTIES!A11="","",SUMIF('RENT LOG'!B:B,PROPERTIES!A11,'RENT LOG'!D:D))</f>
        <v/>
      </c>
      <c r="D28" s="19">
        <f>IF(PROPERTIES!A11="","",SUMIF(EXPENSES!B:B,PROPERTIES!A11,EXPENSES!E:E))</f>
        <v/>
      </c>
      <c r="E28" s="19">
        <f>IF(PROPERTIES!A11="","",SUMIF('RENT LOG'!B:B,PROPERTIES!A11,'RENT LOG'!C:C))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RENTSHEET — Rental Property Income &amp; Expense Tracker</t>
        </is>
      </c>
    </row>
    <row r="3">
      <c r="B3" s="20" t="inlineStr">
        <is>
          <t>For landlords with 1–20 units. Works in Excel and Google Sheets.</t>
        </is>
      </c>
    </row>
    <row r="4">
      <c r="B4" t="inlineStr"/>
    </row>
    <row r="5">
      <c r="B5" s="21" t="inlineStr">
        <is>
          <t>HOW TO USE (3 steps):</t>
        </is>
      </c>
    </row>
    <row r="6">
      <c r="B6" s="22" t="inlineStr">
        <is>
          <t>1. List your units in PROPERTIES (rent, tenant, lease dates — status is automatic).</t>
        </is>
      </c>
    </row>
    <row r="7">
      <c r="B7" s="22" t="inlineStr">
        <is>
          <t>2. Log rent payments in RENT LOG and costs in EXPENSES (property dropdowns auto-fill).</t>
        </is>
      </c>
    </row>
    <row r="8">
      <c r="B8" s="22" t="inlineStr">
        <is>
          <t>3. DASHBOARD shows collection rate, unpaid rent, expenses per unit, and net income.</t>
        </is>
      </c>
    </row>
    <row r="9">
      <c r="B9" t="inlineStr"/>
    </row>
    <row r="10">
      <c r="B10" s="21" t="inlineStr">
        <is>
          <t>SHEETS:</t>
        </is>
      </c>
    </row>
    <row r="11">
      <c r="B11" s="22" t="inlineStr">
        <is>
          <t>• DASHBOARD — collected vs expected, collection rate, late payments, net operating income, per-unit summary.</t>
        </is>
      </c>
    </row>
    <row r="12">
      <c r="B12" s="22" t="inlineStr">
        <is>
          <t>• PROPERTIES — units with tenant, rent, lease start/end; EXPIRED lease alert automatically.</t>
        </is>
      </c>
    </row>
    <row r="13">
      <c r="B13" s="22" t="inlineStr">
        <is>
          <t>• RENT LOG — one row per rent payment; auto balance (due − paid) and PAID/PARTIAL/LATE status.</t>
        </is>
      </c>
    </row>
    <row r="14">
      <c r="B14" s="22" t="inlineStr">
        <is>
          <t>• EXPENSES — repairs, taxes, insurance, management — rolled into net income per unit.</t>
        </is>
      </c>
    </row>
    <row r="15">
      <c r="B15" t="inlineStr"/>
    </row>
    <row r="16">
      <c r="B16" s="21" t="inlineStr">
        <is>
          <t>NOTES:</t>
        </is>
      </c>
    </row>
    <row r="17">
      <c r="B17" s="22" t="inlineStr">
        <is>
          <t>• Don't edit grey formula cells; type only in white cells.</t>
        </is>
      </c>
    </row>
    <row r="18">
      <c r="B18" s="22" t="inlineStr">
        <is>
          <t>• 'LATE' = rent month's row still has a balance and the month has ended (based on your computer's date).</t>
        </is>
      </c>
    </row>
    <row r="19">
      <c r="B19" s="22" t="inlineStr">
        <is>
          <t>• Use one RENT LOG row per unit per month, even for partial payments.</t>
        </is>
      </c>
    </row>
    <row r="20">
      <c r="B20" t="inlineStr"/>
    </row>
    <row r="21">
      <c r="B21" s="23" t="inlineStr">
        <is>
          <t>RentSheet v1.0 · 2026-08-22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12" customWidth="1" min="4" max="4"/>
    <col width="12" customWidth="1" min="5" max="5"/>
    <col width="13" customWidth="1" min="6" max="6"/>
    <col width="28" customWidth="1" min="7" max="7"/>
  </cols>
  <sheetData>
    <row r="1">
      <c r="A1" s="24" t="inlineStr">
        <is>
          <t>Unit / Property</t>
        </is>
      </c>
      <c r="B1" s="24" t="inlineStr">
        <is>
          <t>Tenant</t>
        </is>
      </c>
      <c r="C1" s="24" t="inlineStr">
        <is>
          <t>Monthly Rent (₱)</t>
        </is>
      </c>
      <c r="D1" s="24" t="inlineStr">
        <is>
          <t>Lease Start</t>
        </is>
      </c>
      <c r="E1" s="24" t="inlineStr">
        <is>
          <t>Lease End</t>
        </is>
      </c>
      <c r="F1" s="24" t="inlineStr">
        <is>
          <t>Lease Status</t>
        </is>
      </c>
      <c r="G1" s="24" t="inlineStr">
        <is>
          <t>Notes</t>
        </is>
      </c>
    </row>
    <row r="2">
      <c r="A2" s="25" t="inlineStr">
        <is>
          <t>Unit 2A — Maple St.</t>
        </is>
      </c>
      <c r="B2" s="25" t="inlineStr">
        <is>
          <t>Santos family</t>
        </is>
      </c>
      <c r="C2" s="26" t="n">
        <v>12000</v>
      </c>
      <c r="D2" s="27" t="n">
        <v>46235</v>
      </c>
      <c r="E2" s="27" t="n">
        <v>46415</v>
      </c>
      <c r="F2" s="25">
        <f>IF(A2="","",IF(E2="","—",IF(E2&lt;TODAY(),"⚠️ EXPIRED","ACTIVE")))</f>
        <v/>
      </c>
      <c r="G2" s="25" t="n"/>
    </row>
    <row r="3">
      <c r="A3" s="25" t="inlineStr">
        <is>
          <t>Unit 5B — Maple St.</t>
        </is>
      </c>
      <c r="B3" s="25" t="inlineStr">
        <is>
          <t>R. Cruz</t>
        </is>
      </c>
      <c r="C3" s="26" t="n">
        <v>9500</v>
      </c>
      <c r="D3" s="27" t="n">
        <v>46235</v>
      </c>
      <c r="E3" s="27" t="n">
        <v>46232</v>
      </c>
      <c r="F3" s="25">
        <f>IF(A3="","",IF(E3="","—",IF(E3&lt;TODAY(),"⚠️ EXPIRED","ACTIVE")))</f>
        <v/>
      </c>
      <c r="G3" s="25" t="n"/>
    </row>
    <row r="4">
      <c r="A4" s="25" t="n"/>
      <c r="B4" s="25" t="n"/>
      <c r="C4" s="26" t="n"/>
      <c r="D4" s="27" t="n"/>
      <c r="E4" s="27" t="n"/>
      <c r="F4" s="25">
        <f>IF(A4="","",IF(E4="","—",IF(E4&lt;TODAY(),"⚠️ EXPIRED","ACTIVE")))</f>
        <v/>
      </c>
      <c r="G4" s="25" t="n"/>
    </row>
    <row r="5">
      <c r="A5" s="25" t="n"/>
      <c r="B5" s="25" t="n"/>
      <c r="C5" s="26" t="n"/>
      <c r="D5" s="27" t="n"/>
      <c r="E5" s="27" t="n"/>
      <c r="F5" s="25">
        <f>IF(A5="","",IF(E5="","—",IF(E5&lt;TODAY(),"⚠️ EXPIRED","ACTIVE")))</f>
        <v/>
      </c>
      <c r="G5" s="25" t="n"/>
    </row>
    <row r="6">
      <c r="A6" s="25" t="n"/>
      <c r="B6" s="25" t="n"/>
      <c r="C6" s="26" t="n"/>
      <c r="D6" s="27" t="n"/>
      <c r="E6" s="27" t="n"/>
      <c r="F6" s="25">
        <f>IF(A6="","",IF(E6="","—",IF(E6&lt;TODAY(),"⚠️ EXPIRED","ACTIVE")))</f>
        <v/>
      </c>
      <c r="G6" s="25" t="n"/>
    </row>
    <row r="7">
      <c r="A7" s="25" t="n"/>
      <c r="B7" s="25" t="n"/>
      <c r="C7" s="26" t="n"/>
      <c r="D7" s="27" t="n"/>
      <c r="E7" s="27" t="n"/>
      <c r="F7" s="25">
        <f>IF(A7="","",IF(E7="","—",IF(E7&lt;TODAY(),"⚠️ EXPIRED","ACTIVE")))</f>
        <v/>
      </c>
      <c r="G7" s="25" t="n"/>
    </row>
    <row r="8">
      <c r="A8" s="25" t="n"/>
      <c r="B8" s="25" t="n"/>
      <c r="C8" s="26" t="n"/>
      <c r="D8" s="27" t="n"/>
      <c r="E8" s="27" t="n"/>
      <c r="F8" s="25">
        <f>IF(A8="","",IF(E8="","—",IF(E8&lt;TODAY(),"⚠️ EXPIRED","ACTIVE")))</f>
        <v/>
      </c>
      <c r="G8" s="25" t="n"/>
    </row>
    <row r="9">
      <c r="A9" s="25" t="n"/>
      <c r="B9" s="25" t="n"/>
      <c r="C9" s="26" t="n"/>
      <c r="D9" s="27" t="n"/>
      <c r="E9" s="27" t="n"/>
      <c r="F9" s="25">
        <f>IF(A9="","",IF(E9="","—",IF(E9&lt;TODAY(),"⚠️ EXPIRED","ACTIVE")))</f>
        <v/>
      </c>
      <c r="G9" s="25" t="n"/>
    </row>
    <row r="10">
      <c r="A10" s="25" t="n"/>
      <c r="B10" s="25" t="n"/>
      <c r="C10" s="26" t="n"/>
      <c r="D10" s="27" t="n"/>
      <c r="E10" s="27" t="n"/>
      <c r="F10" s="25">
        <f>IF(A10="","",IF(E10="","—",IF(E10&lt;TODAY(),"⚠️ EXPIRED","ACTIVE")))</f>
        <v/>
      </c>
      <c r="G10" s="25" t="n"/>
    </row>
    <row r="11">
      <c r="A11" s="25" t="n"/>
      <c r="B11" s="25" t="n"/>
      <c r="C11" s="26" t="n"/>
      <c r="D11" s="27" t="n"/>
      <c r="E11" s="27" t="n"/>
      <c r="F11" s="25">
        <f>IF(A11="","",IF(E11="","—",IF(E11&lt;TODAY(),"⚠️ EXPIRED","ACTIVE")))</f>
        <v/>
      </c>
      <c r="G11" s="25" t="n"/>
    </row>
    <row r="12">
      <c r="A12" s="25" t="n"/>
      <c r="B12" s="25" t="n"/>
      <c r="C12" s="26" t="n"/>
      <c r="D12" s="27" t="n"/>
      <c r="E12" s="27" t="n"/>
      <c r="F12" s="25">
        <f>IF(A12="","",IF(E12="","—",IF(E12&lt;TODAY(),"⚠️ EXPIRED","ACTIVE")))</f>
        <v/>
      </c>
      <c r="G12" s="25" t="n"/>
    </row>
    <row r="13">
      <c r="A13" s="25" t="n"/>
      <c r="B13" s="25" t="n"/>
      <c r="C13" s="26" t="n"/>
      <c r="D13" s="27" t="n"/>
      <c r="E13" s="27" t="n"/>
      <c r="F13" s="25">
        <f>IF(A13="","",IF(E13="","—",IF(E13&lt;TODAY(),"⚠️ EXPIRED","ACTIVE")))</f>
        <v/>
      </c>
      <c r="G13" s="25" t="n"/>
    </row>
    <row r="14">
      <c r="A14" s="25" t="n"/>
      <c r="B14" s="25" t="n"/>
      <c r="C14" s="26" t="n"/>
      <c r="D14" s="27" t="n"/>
      <c r="E14" s="27" t="n"/>
      <c r="F14" s="25">
        <f>IF(A14="","",IF(E14="","—",IF(E14&lt;TODAY(),"⚠️ EXPIRED","ACTIVE")))</f>
        <v/>
      </c>
      <c r="G14" s="25" t="n"/>
    </row>
    <row r="15">
      <c r="A15" s="25" t="n"/>
      <c r="B15" s="25" t="n"/>
      <c r="C15" s="26" t="n"/>
      <c r="D15" s="27" t="n"/>
      <c r="E15" s="27" t="n"/>
      <c r="F15" s="25">
        <f>IF(A15="","",IF(E15="","—",IF(E15&lt;TODAY(),"⚠️ EXPIRED","ACTIVE")))</f>
        <v/>
      </c>
      <c r="G15" s="25" t="n"/>
    </row>
    <row r="16">
      <c r="A16" s="25" t="n"/>
      <c r="B16" s="25" t="n"/>
      <c r="C16" s="26" t="n"/>
      <c r="D16" s="27" t="n"/>
      <c r="E16" s="27" t="n"/>
      <c r="F16" s="25">
        <f>IF(A16="","",IF(E16="","—",IF(E16&lt;TODAY(),"⚠️ EXPIRED","ACTIVE")))</f>
        <v/>
      </c>
      <c r="G16" s="25" t="n"/>
    </row>
    <row r="17">
      <c r="A17" s="25" t="n"/>
      <c r="B17" s="25" t="n"/>
      <c r="C17" s="26" t="n"/>
      <c r="D17" s="27" t="n"/>
      <c r="E17" s="27" t="n"/>
      <c r="F17" s="25">
        <f>IF(A17="","",IF(E17="","—",IF(E17&lt;TODAY(),"⚠️ EXPIRED","ACTIVE")))</f>
        <v/>
      </c>
      <c r="G17" s="25" t="n"/>
    </row>
    <row r="18">
      <c r="A18" s="25" t="n"/>
      <c r="B18" s="25" t="n"/>
      <c r="C18" s="26" t="n"/>
      <c r="D18" s="27" t="n"/>
      <c r="E18" s="27" t="n"/>
      <c r="F18" s="25">
        <f>IF(A18="","",IF(E18="","—",IF(E18&lt;TODAY(),"⚠️ EXPIRED","ACTIVE")))</f>
        <v/>
      </c>
      <c r="G18" s="25" t="n"/>
    </row>
    <row r="19">
      <c r="A19" s="25" t="n"/>
      <c r="B19" s="25" t="n"/>
      <c r="C19" s="26" t="n"/>
      <c r="D19" s="27" t="n"/>
      <c r="E19" s="27" t="n"/>
      <c r="F19" s="25">
        <f>IF(A19="","",IF(E19="","—",IF(E19&lt;TODAY(),"⚠️ EXPIRED","ACTIVE")))</f>
        <v/>
      </c>
      <c r="G19" s="25" t="n"/>
    </row>
    <row r="20">
      <c r="A20" s="25" t="n"/>
      <c r="B20" s="25" t="n"/>
      <c r="C20" s="26" t="n"/>
      <c r="D20" s="27" t="n"/>
      <c r="E20" s="27" t="n"/>
      <c r="F20" s="25">
        <f>IF(A20="","",IF(E20="","—",IF(E20&lt;TODAY(),"⚠️ EXPIRED","ACTIVE")))</f>
        <v/>
      </c>
      <c r="G20" s="25" t="n"/>
    </row>
    <row r="21">
      <c r="A21" s="25" t="n"/>
      <c r="B21" s="25" t="n"/>
      <c r="C21" s="26" t="n"/>
      <c r="D21" s="27" t="n"/>
      <c r="E21" s="27" t="n"/>
      <c r="F21" s="25">
        <f>IF(A21="","",IF(E21="","—",IF(E21&lt;TODAY(),"⚠️ EXPIRED","ACTIVE")))</f>
        <v/>
      </c>
      <c r="G21" s="25" t="n"/>
    </row>
    <row r="22">
      <c r="A22" s="25" t="n"/>
      <c r="B22" s="25" t="n"/>
      <c r="C22" s="26" t="n"/>
      <c r="D22" s="27" t="n"/>
      <c r="E22" s="27" t="n"/>
      <c r="F22" s="25">
        <f>IF(A22="","",IF(E22="","—",IF(E22&lt;TODAY(),"⚠️ EXPIRED","ACTIVE")))</f>
        <v/>
      </c>
      <c r="G22" s="25" t="n"/>
    </row>
    <row r="23">
      <c r="A23" s="25" t="n"/>
      <c r="B23" s="25" t="n"/>
      <c r="C23" s="26" t="n"/>
      <c r="D23" s="27" t="n"/>
      <c r="E23" s="27" t="n"/>
      <c r="F23" s="25">
        <f>IF(A23="","",IF(E23="","—",IF(E23&lt;TODAY(),"⚠️ EXPIRED","ACTIVE")))</f>
        <v/>
      </c>
      <c r="G23" s="25" t="n"/>
    </row>
    <row r="24">
      <c r="A24" s="25" t="n"/>
      <c r="B24" s="25" t="n"/>
      <c r="C24" s="26" t="n"/>
      <c r="D24" s="27" t="n"/>
      <c r="E24" s="27" t="n"/>
      <c r="F24" s="25">
        <f>IF(A24="","",IF(E24="","—",IF(E24&lt;TODAY(),"⚠️ EXPIRED","ACTIVE")))</f>
        <v/>
      </c>
      <c r="G24" s="25" t="n"/>
    </row>
    <row r="25">
      <c r="A25" s="25" t="n"/>
      <c r="B25" s="25" t="n"/>
      <c r="C25" s="26" t="n"/>
      <c r="D25" s="27" t="n"/>
      <c r="E25" s="27" t="n"/>
      <c r="F25" s="25">
        <f>IF(A25="","",IF(E25="","—",IF(E25&lt;TODAY(),"⚠️ EXPIRED","ACTIVE")))</f>
        <v/>
      </c>
      <c r="G25" s="25" t="n"/>
    </row>
    <row r="26">
      <c r="A26" s="25" t="n"/>
      <c r="B26" s="25" t="n"/>
      <c r="C26" s="26" t="n"/>
      <c r="D26" s="27" t="n"/>
      <c r="E26" s="27" t="n"/>
      <c r="F26" s="25">
        <f>IF(A26="","",IF(E26="","—",IF(E26&lt;TODAY(),"⚠️ EXPIRED","ACTIVE")))</f>
        <v/>
      </c>
      <c r="G26" s="25" t="n"/>
    </row>
    <row r="27">
      <c r="A27" s="25" t="n"/>
      <c r="B27" s="25" t="n"/>
      <c r="C27" s="26" t="n"/>
      <c r="D27" s="27" t="n"/>
      <c r="E27" s="27" t="n"/>
      <c r="F27" s="25">
        <f>IF(A27="","",IF(E27="","—",IF(E27&lt;TODAY(),"⚠️ EXPIRED","ACTIVE")))</f>
        <v/>
      </c>
      <c r="G27" s="25" t="n"/>
    </row>
    <row r="28">
      <c r="A28" s="25" t="n"/>
      <c r="B28" s="25" t="n"/>
      <c r="C28" s="26" t="n"/>
      <c r="D28" s="27" t="n"/>
      <c r="E28" s="27" t="n"/>
      <c r="F28" s="25">
        <f>IF(A28="","",IF(E28="","—",IF(E28&lt;TODAY(),"⚠️ EXPIRED","ACTIVE")))</f>
        <v/>
      </c>
      <c r="G28" s="25" t="n"/>
    </row>
    <row r="29">
      <c r="A29" s="25" t="n"/>
      <c r="B29" s="25" t="n"/>
      <c r="C29" s="26" t="n"/>
      <c r="D29" s="27" t="n"/>
      <c r="E29" s="27" t="n"/>
      <c r="F29" s="25">
        <f>IF(A29="","",IF(E29="","—",IF(E29&lt;TODAY(),"⚠️ EXPIRED","ACTIVE")))</f>
        <v/>
      </c>
      <c r="G29" s="25" t="n"/>
    </row>
    <row r="30">
      <c r="A30" s="25" t="n"/>
      <c r="B30" s="25" t="n"/>
      <c r="C30" s="26" t="n"/>
      <c r="D30" s="27" t="n"/>
      <c r="E30" s="27" t="n"/>
      <c r="F30" s="25">
        <f>IF(A30="","",IF(E30="","—",IF(E30&lt;TODAY(),"⚠️ EXPIRED","ACTIVE")))</f>
        <v/>
      </c>
      <c r="G30" s="25" t="n"/>
    </row>
    <row r="31">
      <c r="A31" s="25" t="n"/>
      <c r="B31" s="25" t="n"/>
      <c r="C31" s="26" t="n"/>
      <c r="D31" s="27" t="n"/>
      <c r="E31" s="27" t="n"/>
      <c r="F31" s="25">
        <f>IF(A31="","",IF(E31="","—",IF(E31&lt;TODAY(),"⚠️ EXPIRED","ACTIVE")))</f>
        <v/>
      </c>
      <c r="G31" s="25" t="n"/>
    </row>
    <row r="32">
      <c r="A32" s="25" t="n"/>
      <c r="B32" s="25" t="n"/>
      <c r="C32" s="26" t="n"/>
      <c r="D32" s="27" t="n"/>
      <c r="E32" s="27" t="n"/>
      <c r="F32" s="25">
        <f>IF(A32="","",IF(E32="","—",IF(E32&lt;TODAY(),"⚠️ EXPIRED","ACTIVE")))</f>
        <v/>
      </c>
      <c r="G32" s="25" t="n"/>
    </row>
    <row r="33">
      <c r="A33" s="25" t="n"/>
      <c r="B33" s="25" t="n"/>
      <c r="C33" s="26" t="n"/>
      <c r="D33" s="27" t="n"/>
      <c r="E33" s="27" t="n"/>
      <c r="F33" s="25">
        <f>IF(A33="","",IF(E33="","—",IF(E33&lt;TODAY(),"⚠️ EXPIRED","ACTIVE")))</f>
        <v/>
      </c>
      <c r="G33" s="25" t="n"/>
    </row>
    <row r="34">
      <c r="A34" s="25" t="n"/>
      <c r="B34" s="25" t="n"/>
      <c r="C34" s="26" t="n"/>
      <c r="D34" s="27" t="n"/>
      <c r="E34" s="27" t="n"/>
      <c r="F34" s="25">
        <f>IF(A34="","",IF(E34="","—",IF(E34&lt;TODAY(),"⚠️ EXPIRED","ACTIVE")))</f>
        <v/>
      </c>
      <c r="G34" s="25" t="n"/>
    </row>
    <row r="35">
      <c r="A35" s="25" t="n"/>
      <c r="B35" s="25" t="n"/>
      <c r="C35" s="26" t="n"/>
      <c r="D35" s="27" t="n"/>
      <c r="E35" s="27" t="n"/>
      <c r="F35" s="25">
        <f>IF(A35="","",IF(E35="","—",IF(E35&lt;TODAY(),"⚠️ EXPIRED","ACTIVE")))</f>
        <v/>
      </c>
      <c r="G35" s="25" t="n"/>
    </row>
    <row r="36">
      <c r="A36" s="25" t="n"/>
      <c r="B36" s="25" t="n"/>
      <c r="C36" s="26" t="n"/>
      <c r="D36" s="27" t="n"/>
      <c r="E36" s="27" t="n"/>
      <c r="F36" s="25">
        <f>IF(A36="","",IF(E36="","—",IF(E36&lt;TODAY(),"⚠️ EXPIRED","ACTIVE")))</f>
        <v/>
      </c>
      <c r="G36" s="25" t="n"/>
    </row>
    <row r="37">
      <c r="A37" s="25" t="n"/>
      <c r="B37" s="25" t="n"/>
      <c r="C37" s="26" t="n"/>
      <c r="D37" s="27" t="n"/>
      <c r="E37" s="27" t="n"/>
      <c r="F37" s="25">
        <f>IF(A37="","",IF(E37="","—",IF(E37&lt;TODAY(),"⚠️ EXPIRED","ACTIVE")))</f>
        <v/>
      </c>
      <c r="G37" s="25" t="n"/>
    </row>
    <row r="38">
      <c r="A38" s="25" t="n"/>
      <c r="B38" s="25" t="n"/>
      <c r="C38" s="26" t="n"/>
      <c r="D38" s="27" t="n"/>
      <c r="E38" s="27" t="n"/>
      <c r="F38" s="25">
        <f>IF(A38="","",IF(E38="","—",IF(E38&lt;TODAY(),"⚠️ EXPIRED","ACTIVE")))</f>
        <v/>
      </c>
      <c r="G38" s="25" t="n"/>
    </row>
    <row r="39">
      <c r="A39" s="25" t="n"/>
      <c r="B39" s="25" t="n"/>
      <c r="C39" s="26" t="n"/>
      <c r="D39" s="27" t="n"/>
      <c r="E39" s="27" t="n"/>
      <c r="F39" s="25">
        <f>IF(A39="","",IF(E39="","—",IF(E39&lt;TODAY(),"⚠️ EXPIRED","ACTIVE")))</f>
        <v/>
      </c>
      <c r="G39" s="25" t="n"/>
    </row>
    <row r="40">
      <c r="A40" s="25" t="n"/>
      <c r="B40" s="25" t="n"/>
      <c r="C40" s="26" t="n"/>
      <c r="D40" s="27" t="n"/>
      <c r="E40" s="27" t="n"/>
      <c r="F40" s="25">
        <f>IF(A40="","",IF(E40="","—",IF(E40&lt;TODAY(),"⚠️ EXPIRED","ACTIVE")))</f>
        <v/>
      </c>
      <c r="G40" s="25" t="n"/>
    </row>
    <row r="41">
      <c r="A41" s="25" t="n"/>
      <c r="B41" s="25" t="n"/>
      <c r="C41" s="26" t="n"/>
      <c r="D41" s="27" t="n"/>
      <c r="E41" s="27" t="n"/>
      <c r="F41" s="25">
        <f>IF(A41="","",IF(E41="","—",IF(E41&lt;TODAY(),"⚠️ EXPIRED","ACTIVE")))</f>
        <v/>
      </c>
      <c r="G41" s="25" t="n"/>
    </row>
    <row r="42">
      <c r="A42" s="25" t="n"/>
      <c r="B42" s="25" t="n"/>
      <c r="C42" s="26" t="n"/>
      <c r="D42" s="27" t="n"/>
      <c r="E42" s="27" t="n"/>
      <c r="F42" s="25">
        <f>IF(A42="","",IF(E42="","—",IF(E42&lt;TODAY(),"⚠️ EXPIRED","ACTIVE")))</f>
        <v/>
      </c>
      <c r="G42" s="25" t="n"/>
    </row>
    <row r="43">
      <c r="A43" s="25" t="n"/>
      <c r="B43" s="25" t="n"/>
      <c r="C43" s="26" t="n"/>
      <c r="D43" s="27" t="n"/>
      <c r="E43" s="27" t="n"/>
      <c r="F43" s="25">
        <f>IF(A43="","",IF(E43="","—",IF(E43&lt;TODAY(),"⚠️ EXPIRED","ACTIVE")))</f>
        <v/>
      </c>
      <c r="G43" s="25" t="n"/>
    </row>
    <row r="44">
      <c r="A44" s="25" t="n"/>
      <c r="B44" s="25" t="n"/>
      <c r="C44" s="26" t="n"/>
      <c r="D44" s="27" t="n"/>
      <c r="E44" s="27" t="n"/>
      <c r="F44" s="25">
        <f>IF(A44="","",IF(E44="","—",IF(E44&lt;TODAY(),"⚠️ EXPIRED","ACTIVE")))</f>
        <v/>
      </c>
      <c r="G44" s="25" t="n"/>
    </row>
    <row r="45">
      <c r="A45" s="25" t="n"/>
      <c r="B45" s="25" t="n"/>
      <c r="C45" s="26" t="n"/>
      <c r="D45" s="27" t="n"/>
      <c r="E45" s="27" t="n"/>
      <c r="F45" s="25">
        <f>IF(A45="","",IF(E45="","—",IF(E45&lt;TODAY(),"⚠️ EXPIRED","ACTIVE")))</f>
        <v/>
      </c>
      <c r="G45" s="25" t="n"/>
    </row>
    <row r="46">
      <c r="A46" s="25" t="n"/>
      <c r="B46" s="25" t="n"/>
      <c r="C46" s="26" t="n"/>
      <c r="D46" s="27" t="n"/>
      <c r="E46" s="27" t="n"/>
      <c r="F46" s="25">
        <f>IF(A46="","",IF(E46="","—",IF(E46&lt;TODAY(),"⚠️ EXPIRED","ACTIVE")))</f>
        <v/>
      </c>
      <c r="G46" s="25" t="n"/>
    </row>
    <row r="47">
      <c r="A47" s="25" t="n"/>
      <c r="B47" s="25" t="n"/>
      <c r="C47" s="26" t="n"/>
      <c r="D47" s="27" t="n"/>
      <c r="E47" s="27" t="n"/>
      <c r="F47" s="25">
        <f>IF(A47="","",IF(E47="","—",IF(E47&lt;TODAY(),"⚠️ EXPIRED","ACTIVE")))</f>
        <v/>
      </c>
      <c r="G47" s="25" t="n"/>
    </row>
    <row r="48">
      <c r="A48" s="25" t="n"/>
      <c r="B48" s="25" t="n"/>
      <c r="C48" s="26" t="n"/>
      <c r="D48" s="27" t="n"/>
      <c r="E48" s="27" t="n"/>
      <c r="F48" s="25">
        <f>IF(A48="","",IF(E48="","—",IF(E48&lt;TODAY(),"⚠️ EXPIRED","ACTIVE")))</f>
        <v/>
      </c>
      <c r="G48" s="25" t="n"/>
    </row>
    <row r="49">
      <c r="A49" s="25" t="n"/>
      <c r="B49" s="25" t="n"/>
      <c r="C49" s="26" t="n"/>
      <c r="D49" s="27" t="n"/>
      <c r="E49" s="27" t="n"/>
      <c r="F49" s="25">
        <f>IF(A49="","",IF(E49="","—",IF(E49&lt;TODAY(),"⚠️ EXPIRED","ACTIVE")))</f>
        <v/>
      </c>
      <c r="G49" s="25" t="n"/>
    </row>
    <row r="50">
      <c r="A50" s="25" t="n"/>
      <c r="B50" s="25" t="n"/>
      <c r="C50" s="26" t="n"/>
      <c r="D50" s="27" t="n"/>
      <c r="E50" s="27" t="n"/>
      <c r="F50" s="25">
        <f>IF(A50="","",IF(E50="","—",IF(E50&lt;TODAY(),"⚠️ EXPIRED","ACTIVE")))</f>
        <v/>
      </c>
      <c r="G50" s="25" t="n"/>
    </row>
    <row r="51">
      <c r="A51" s="25" t="n"/>
      <c r="B51" s="25" t="n"/>
      <c r="C51" s="26" t="n"/>
      <c r="D51" s="27" t="n"/>
      <c r="E51" s="27" t="n"/>
      <c r="F51" s="25">
        <f>IF(A51="","",IF(E51="","—",IF(E51&lt;TODAY(),"⚠️ EXPIRED","ACTIVE")))</f>
        <v/>
      </c>
      <c r="G51" s="25" t="n"/>
    </row>
    <row r="52">
      <c r="A52" s="25" t="n"/>
      <c r="B52" s="25" t="n"/>
      <c r="C52" s="26" t="n"/>
      <c r="D52" s="27" t="n"/>
      <c r="E52" s="27" t="n"/>
      <c r="F52" s="25">
        <f>IF(A52="","",IF(E52="","—",IF(E52&lt;TODAY(),"⚠️ EXPIRED","ACTIVE")))</f>
        <v/>
      </c>
      <c r="G52" s="25" t="n"/>
    </row>
    <row r="53">
      <c r="A53" s="25" t="n"/>
      <c r="B53" s="25" t="n"/>
      <c r="C53" s="26" t="n"/>
      <c r="D53" s="27" t="n"/>
      <c r="E53" s="27" t="n"/>
      <c r="F53" s="25">
        <f>IF(A53="","",IF(E53="","—",IF(E53&lt;TODAY(),"⚠️ EXPIRED","ACTIVE")))</f>
        <v/>
      </c>
      <c r="G53" s="25" t="n"/>
    </row>
    <row r="54">
      <c r="A54" s="25" t="n"/>
      <c r="B54" s="25" t="n"/>
      <c r="C54" s="26" t="n"/>
      <c r="D54" s="27" t="n"/>
      <c r="E54" s="27" t="n"/>
      <c r="F54" s="25">
        <f>IF(A54="","",IF(E54="","—",IF(E54&lt;TODAY(),"⚠️ EXPIRED","ACTIVE")))</f>
        <v/>
      </c>
      <c r="G54" s="25" t="n"/>
    </row>
    <row r="55">
      <c r="A55" s="25" t="n"/>
      <c r="B55" s="25" t="n"/>
      <c r="C55" s="26" t="n"/>
      <c r="D55" s="27" t="n"/>
      <c r="E55" s="27" t="n"/>
      <c r="F55" s="25">
        <f>IF(A55="","",IF(E55="","—",IF(E55&lt;TODAY(),"⚠️ EXPIRED","ACTIVE")))</f>
        <v/>
      </c>
      <c r="G55" s="25" t="n"/>
    </row>
    <row r="56">
      <c r="A56" s="25" t="n"/>
      <c r="B56" s="25" t="n"/>
      <c r="C56" s="26" t="n"/>
      <c r="D56" s="27" t="n"/>
      <c r="E56" s="27" t="n"/>
      <c r="F56" s="25">
        <f>IF(A56="","",IF(E56="","—",IF(E56&lt;TODAY(),"⚠️ EXPIRED","ACTIVE")))</f>
        <v/>
      </c>
      <c r="G56" s="25" t="n"/>
    </row>
    <row r="57">
      <c r="A57" s="25" t="n"/>
      <c r="B57" s="25" t="n"/>
      <c r="C57" s="26" t="n"/>
      <c r="D57" s="27" t="n"/>
      <c r="E57" s="27" t="n"/>
      <c r="F57" s="25">
        <f>IF(A57="","",IF(E57="","—",IF(E57&lt;TODAY(),"⚠️ EXPIRED","ACTIVE")))</f>
        <v/>
      </c>
      <c r="G57" s="25" t="n"/>
    </row>
    <row r="58">
      <c r="A58" s="25" t="n"/>
      <c r="B58" s="25" t="n"/>
      <c r="C58" s="26" t="n"/>
      <c r="D58" s="27" t="n"/>
      <c r="E58" s="27" t="n"/>
      <c r="F58" s="25">
        <f>IF(A58="","",IF(E58="","—",IF(E58&lt;TODAY(),"⚠️ EXPIRED","ACTIVE")))</f>
        <v/>
      </c>
      <c r="G58" s="25" t="n"/>
    </row>
    <row r="59">
      <c r="A59" s="25" t="n"/>
      <c r="B59" s="25" t="n"/>
      <c r="C59" s="26" t="n"/>
      <c r="D59" s="27" t="n"/>
      <c r="E59" s="27" t="n"/>
      <c r="F59" s="25">
        <f>IF(A59="","",IF(E59="","—",IF(E59&lt;TODAY(),"⚠️ EXPIRED","ACTIVE")))</f>
        <v/>
      </c>
      <c r="G59" s="25" t="n"/>
    </row>
    <row r="60">
      <c r="A60" s="25" t="n"/>
      <c r="B60" s="25" t="n"/>
      <c r="C60" s="26" t="n"/>
      <c r="D60" s="27" t="n"/>
      <c r="E60" s="27" t="n"/>
      <c r="F60" s="25">
        <f>IF(A60="","",IF(E60="","—",IF(E60&lt;TODAY(),"⚠️ EXPIRED","ACTIVE")))</f>
        <v/>
      </c>
      <c r="G60" s="25" t="n"/>
    </row>
    <row r="61">
      <c r="A61" s="25" t="n"/>
      <c r="B61" s="25" t="n"/>
      <c r="C61" s="26" t="n"/>
      <c r="D61" s="27" t="n"/>
      <c r="E61" s="27" t="n"/>
      <c r="F61" s="25">
        <f>IF(A61="","",IF(E61="","—",IF(E61&lt;TODAY(),"⚠️ EXPIRED","ACTIVE")))</f>
        <v/>
      </c>
      <c r="G61" s="25" t="n"/>
    </row>
    <row r="62">
      <c r="A62" s="25" t="n"/>
      <c r="B62" s="25" t="n"/>
      <c r="C62" s="26" t="n"/>
      <c r="D62" s="27" t="n"/>
      <c r="E62" s="27" t="n"/>
      <c r="F62" s="25">
        <f>IF(A62="","",IF(E62="","—",IF(E62&lt;TODAY(),"⚠️ EXPIRED","ACTIVE")))</f>
        <v/>
      </c>
      <c r="G62" s="25" t="n"/>
    </row>
    <row r="63">
      <c r="A63" s="25" t="n"/>
      <c r="B63" s="25" t="n"/>
      <c r="C63" s="26" t="n"/>
      <c r="D63" s="27" t="n"/>
      <c r="E63" s="27" t="n"/>
      <c r="F63" s="25">
        <f>IF(A63="","",IF(E63="","—",IF(E63&lt;TODAY(),"⚠️ EXPIRED","ACTIVE")))</f>
        <v/>
      </c>
      <c r="G63" s="25" t="n"/>
    </row>
    <row r="64">
      <c r="A64" s="25" t="n"/>
      <c r="B64" s="25" t="n"/>
      <c r="C64" s="26" t="n"/>
      <c r="D64" s="27" t="n"/>
      <c r="E64" s="27" t="n"/>
      <c r="F64" s="25">
        <f>IF(A64="","",IF(E64="","—",IF(E64&lt;TODAY(),"⚠️ EXPIRED","ACTIVE")))</f>
        <v/>
      </c>
      <c r="G64" s="25" t="n"/>
    </row>
    <row r="65">
      <c r="A65" s="25" t="n"/>
      <c r="B65" s="25" t="n"/>
      <c r="C65" s="26" t="n"/>
      <c r="D65" s="27" t="n"/>
      <c r="E65" s="27" t="n"/>
      <c r="F65" s="25">
        <f>IF(A65="","",IF(E65="","—",IF(E65&lt;TODAY(),"⚠️ EXPIRED","ACTIVE")))</f>
        <v/>
      </c>
      <c r="G65" s="25" t="n"/>
    </row>
    <row r="66">
      <c r="A66" s="25" t="n"/>
      <c r="B66" s="25" t="n"/>
      <c r="C66" s="26" t="n"/>
      <c r="D66" s="27" t="n"/>
      <c r="E66" s="27" t="n"/>
      <c r="F66" s="25">
        <f>IF(A66="","",IF(E66="","—",IF(E66&lt;TODAY(),"⚠️ EXPIRED","ACTIVE")))</f>
        <v/>
      </c>
      <c r="G66" s="25" t="n"/>
    </row>
    <row r="67">
      <c r="A67" s="25" t="n"/>
      <c r="B67" s="25" t="n"/>
      <c r="C67" s="26" t="n"/>
      <c r="D67" s="27" t="n"/>
      <c r="E67" s="27" t="n"/>
      <c r="F67" s="25">
        <f>IF(A67="","",IF(E67="","—",IF(E67&lt;TODAY(),"⚠️ EXPIRED","ACTIVE")))</f>
        <v/>
      </c>
      <c r="G67" s="25" t="n"/>
    </row>
    <row r="68">
      <c r="A68" s="25" t="n"/>
      <c r="B68" s="25" t="n"/>
      <c r="C68" s="26" t="n"/>
      <c r="D68" s="27" t="n"/>
      <c r="E68" s="27" t="n"/>
      <c r="F68" s="25">
        <f>IF(A68="","",IF(E68="","—",IF(E68&lt;TODAY(),"⚠️ EXPIRED","ACTIVE")))</f>
        <v/>
      </c>
      <c r="G68" s="25" t="n"/>
    </row>
    <row r="69">
      <c r="A69" s="25" t="n"/>
      <c r="B69" s="25" t="n"/>
      <c r="C69" s="26" t="n"/>
      <c r="D69" s="27" t="n"/>
      <c r="E69" s="27" t="n"/>
      <c r="F69" s="25">
        <f>IF(A69="","",IF(E69="","—",IF(E69&lt;TODAY(),"⚠️ EXPIRED","ACTIVE")))</f>
        <v/>
      </c>
      <c r="G69" s="25" t="n"/>
    </row>
    <row r="70">
      <c r="A70" s="25" t="n"/>
      <c r="B70" s="25" t="n"/>
      <c r="C70" s="26" t="n"/>
      <c r="D70" s="27" t="n"/>
      <c r="E70" s="27" t="n"/>
      <c r="F70" s="25">
        <f>IF(A70="","",IF(E70="","—",IF(E70&lt;TODAY(),"⚠️ EXPIRED","ACTIVE")))</f>
        <v/>
      </c>
      <c r="G70" s="25" t="n"/>
    </row>
    <row r="71">
      <c r="A71" s="25" t="n"/>
      <c r="B71" s="25" t="n"/>
      <c r="C71" s="26" t="n"/>
      <c r="D71" s="27" t="n"/>
      <c r="E71" s="27" t="n"/>
      <c r="F71" s="25">
        <f>IF(A71="","",IF(E71="","—",IF(E71&lt;TODAY(),"⚠️ EXPIRED","ACTIVE")))</f>
        <v/>
      </c>
      <c r="G71" s="25" t="n"/>
    </row>
    <row r="72">
      <c r="A72" s="25" t="n"/>
      <c r="B72" s="25" t="n"/>
      <c r="C72" s="26" t="n"/>
      <c r="D72" s="27" t="n"/>
      <c r="E72" s="27" t="n"/>
      <c r="F72" s="25">
        <f>IF(A72="","",IF(E72="","—",IF(E72&lt;TODAY(),"⚠️ EXPIRED","ACTIVE")))</f>
        <v/>
      </c>
      <c r="G72" s="25" t="n"/>
    </row>
    <row r="73">
      <c r="A73" s="25" t="n"/>
      <c r="B73" s="25" t="n"/>
      <c r="C73" s="26" t="n"/>
      <c r="D73" s="27" t="n"/>
      <c r="E73" s="27" t="n"/>
      <c r="F73" s="25">
        <f>IF(A73="","",IF(E73="","—",IF(E73&lt;TODAY(),"⚠️ EXPIRED","ACTIVE")))</f>
        <v/>
      </c>
      <c r="G73" s="25" t="n"/>
    </row>
    <row r="74">
      <c r="A74" s="25" t="n"/>
      <c r="B74" s="25" t="n"/>
      <c r="C74" s="26" t="n"/>
      <c r="D74" s="27" t="n"/>
      <c r="E74" s="27" t="n"/>
      <c r="F74" s="25">
        <f>IF(A74="","",IF(E74="","—",IF(E74&lt;TODAY(),"⚠️ EXPIRED","ACTIVE")))</f>
        <v/>
      </c>
      <c r="G74" s="25" t="n"/>
    </row>
    <row r="75">
      <c r="A75" s="25" t="n"/>
      <c r="B75" s="25" t="n"/>
      <c r="C75" s="26" t="n"/>
      <c r="D75" s="27" t="n"/>
      <c r="E75" s="27" t="n"/>
      <c r="F75" s="25">
        <f>IF(A75="","",IF(E75="","—",IF(E75&lt;TODAY(),"⚠️ EXPIRED","ACTIVE")))</f>
        <v/>
      </c>
      <c r="G75" s="25" t="n"/>
    </row>
    <row r="76">
      <c r="A76" s="25" t="n"/>
      <c r="B76" s="25" t="n"/>
      <c r="C76" s="26" t="n"/>
      <c r="D76" s="27" t="n"/>
      <c r="E76" s="27" t="n"/>
      <c r="F76" s="25">
        <f>IF(A76="","",IF(E76="","—",IF(E76&lt;TODAY(),"⚠️ EXPIRED","ACTIVE")))</f>
        <v/>
      </c>
      <c r="G76" s="25" t="n"/>
    </row>
    <row r="77">
      <c r="A77" s="25" t="n"/>
      <c r="B77" s="25" t="n"/>
      <c r="C77" s="26" t="n"/>
      <c r="D77" s="27" t="n"/>
      <c r="E77" s="27" t="n"/>
      <c r="F77" s="25">
        <f>IF(A77="","",IF(E77="","—",IF(E77&lt;TODAY(),"⚠️ EXPIRED","ACTIVE")))</f>
        <v/>
      </c>
      <c r="G77" s="25" t="n"/>
    </row>
    <row r="78">
      <c r="A78" s="25" t="n"/>
      <c r="B78" s="25" t="n"/>
      <c r="C78" s="26" t="n"/>
      <c r="D78" s="27" t="n"/>
      <c r="E78" s="27" t="n"/>
      <c r="F78" s="25">
        <f>IF(A78="","",IF(E78="","—",IF(E78&lt;TODAY(),"⚠️ EXPIRED","ACTIVE")))</f>
        <v/>
      </c>
      <c r="G78" s="25" t="n"/>
    </row>
    <row r="79">
      <c r="A79" s="25" t="n"/>
      <c r="B79" s="25" t="n"/>
      <c r="C79" s="26" t="n"/>
      <c r="D79" s="27" t="n"/>
      <c r="E79" s="27" t="n"/>
      <c r="F79" s="25">
        <f>IF(A79="","",IF(E79="","—",IF(E79&lt;TODAY(),"⚠️ EXPIRED","ACTIVE")))</f>
        <v/>
      </c>
      <c r="G79" s="25" t="n"/>
    </row>
    <row r="80">
      <c r="A80" s="25" t="n"/>
      <c r="B80" s="25" t="n"/>
      <c r="C80" s="26" t="n"/>
      <c r="D80" s="27" t="n"/>
      <c r="E80" s="27" t="n"/>
      <c r="F80" s="25">
        <f>IF(A80="","",IF(E80="","—",IF(E80&lt;TODAY(),"⚠️ EXPIRED","ACTIVE")))</f>
        <v/>
      </c>
      <c r="G80" s="25" t="n"/>
    </row>
    <row r="81">
      <c r="A81" s="25" t="n"/>
      <c r="B81" s="25" t="n"/>
      <c r="C81" s="26" t="n"/>
      <c r="D81" s="27" t="n"/>
      <c r="E81" s="27" t="n"/>
      <c r="F81" s="25">
        <f>IF(A81="","",IF(E81="","—",IF(E81&lt;TODAY(),"⚠️ EXPIRED","ACTIVE")))</f>
        <v/>
      </c>
      <c r="G81" s="25" t="n"/>
    </row>
    <row r="82">
      <c r="A82" s="25" t="n"/>
      <c r="B82" s="25" t="n"/>
      <c r="C82" s="26" t="n"/>
      <c r="D82" s="27" t="n"/>
      <c r="E82" s="27" t="n"/>
      <c r="F82" s="25">
        <f>IF(A82="","",IF(E82="","—",IF(E82&lt;TODAY(),"⚠️ EXPIRED","ACTIVE")))</f>
        <v/>
      </c>
      <c r="G82" s="25" t="n"/>
    </row>
    <row r="83">
      <c r="A83" s="25" t="n"/>
      <c r="B83" s="25" t="n"/>
      <c r="C83" s="26" t="n"/>
      <c r="D83" s="27" t="n"/>
      <c r="E83" s="27" t="n"/>
      <c r="F83" s="25">
        <f>IF(A83="","",IF(E83="","—",IF(E83&lt;TODAY(),"⚠️ EXPIRED","ACTIVE")))</f>
        <v/>
      </c>
      <c r="G83" s="25" t="n"/>
    </row>
    <row r="84">
      <c r="A84" s="25" t="n"/>
      <c r="B84" s="25" t="n"/>
      <c r="C84" s="26" t="n"/>
      <c r="D84" s="27" t="n"/>
      <c r="E84" s="27" t="n"/>
      <c r="F84" s="25">
        <f>IF(A84="","",IF(E84="","—",IF(E84&lt;TODAY(),"⚠️ EXPIRED","ACTIVE")))</f>
        <v/>
      </c>
      <c r="G84" s="25" t="n"/>
    </row>
    <row r="85">
      <c r="A85" s="25" t="n"/>
      <c r="B85" s="25" t="n"/>
      <c r="C85" s="26" t="n"/>
      <c r="D85" s="27" t="n"/>
      <c r="E85" s="27" t="n"/>
      <c r="F85" s="25">
        <f>IF(A85="","",IF(E85="","—",IF(E85&lt;TODAY(),"⚠️ EXPIRED","ACTIVE")))</f>
        <v/>
      </c>
      <c r="G85" s="25" t="n"/>
    </row>
    <row r="86">
      <c r="A86" s="25" t="n"/>
      <c r="B86" s="25" t="n"/>
      <c r="C86" s="26" t="n"/>
      <c r="D86" s="27" t="n"/>
      <c r="E86" s="27" t="n"/>
      <c r="F86" s="25">
        <f>IF(A86="","",IF(E86="","—",IF(E86&lt;TODAY(),"⚠️ EXPIRED","ACTIVE")))</f>
        <v/>
      </c>
      <c r="G86" s="25" t="n"/>
    </row>
    <row r="87">
      <c r="A87" s="25" t="n"/>
      <c r="B87" s="25" t="n"/>
      <c r="C87" s="26" t="n"/>
      <c r="D87" s="27" t="n"/>
      <c r="E87" s="27" t="n"/>
      <c r="F87" s="25">
        <f>IF(A87="","",IF(E87="","—",IF(E87&lt;TODAY(),"⚠️ EXPIRED","ACTIVE")))</f>
        <v/>
      </c>
      <c r="G87" s="25" t="n"/>
    </row>
    <row r="88">
      <c r="A88" s="25" t="n"/>
      <c r="B88" s="25" t="n"/>
      <c r="C88" s="26" t="n"/>
      <c r="D88" s="27" t="n"/>
      <c r="E88" s="27" t="n"/>
      <c r="F88" s="25">
        <f>IF(A88="","",IF(E88="","—",IF(E88&lt;TODAY(),"⚠️ EXPIRED","ACTIVE")))</f>
        <v/>
      </c>
      <c r="G88" s="25" t="n"/>
    </row>
    <row r="89">
      <c r="A89" s="25" t="n"/>
      <c r="B89" s="25" t="n"/>
      <c r="C89" s="26" t="n"/>
      <c r="D89" s="27" t="n"/>
      <c r="E89" s="27" t="n"/>
      <c r="F89" s="25">
        <f>IF(A89="","",IF(E89="","—",IF(E89&lt;TODAY(),"⚠️ EXPIRED","ACTIVE")))</f>
        <v/>
      </c>
      <c r="G89" s="25" t="n"/>
    </row>
    <row r="90">
      <c r="A90" s="25" t="n"/>
      <c r="B90" s="25" t="n"/>
      <c r="C90" s="26" t="n"/>
      <c r="D90" s="27" t="n"/>
      <c r="E90" s="27" t="n"/>
      <c r="F90" s="25">
        <f>IF(A90="","",IF(E90="","—",IF(E90&lt;TODAY(),"⚠️ EXPIRED","ACTIVE")))</f>
        <v/>
      </c>
      <c r="G90" s="25" t="n"/>
    </row>
    <row r="91">
      <c r="A91" s="25" t="n"/>
      <c r="B91" s="25" t="n"/>
      <c r="C91" s="26" t="n"/>
      <c r="D91" s="27" t="n"/>
      <c r="E91" s="27" t="n"/>
      <c r="F91" s="25">
        <f>IF(A91="","",IF(E91="","—",IF(E91&lt;TODAY(),"⚠️ EXPIRED","ACTIVE")))</f>
        <v/>
      </c>
      <c r="G91" s="25" t="n"/>
    </row>
    <row r="92">
      <c r="A92" s="25" t="n"/>
      <c r="B92" s="25" t="n"/>
      <c r="C92" s="26" t="n"/>
      <c r="D92" s="27" t="n"/>
      <c r="E92" s="27" t="n"/>
      <c r="F92" s="25">
        <f>IF(A92="","",IF(E92="","—",IF(E92&lt;TODAY(),"⚠️ EXPIRED","ACTIVE")))</f>
        <v/>
      </c>
      <c r="G92" s="25" t="n"/>
    </row>
    <row r="93">
      <c r="A93" s="25" t="n"/>
      <c r="B93" s="25" t="n"/>
      <c r="C93" s="26" t="n"/>
      <c r="D93" s="27" t="n"/>
      <c r="E93" s="27" t="n"/>
      <c r="F93" s="25">
        <f>IF(A93="","",IF(E93="","—",IF(E93&lt;TODAY(),"⚠️ EXPIRED","ACTIVE")))</f>
        <v/>
      </c>
      <c r="G93" s="25" t="n"/>
    </row>
    <row r="94">
      <c r="A94" s="25" t="n"/>
      <c r="B94" s="25" t="n"/>
      <c r="C94" s="26" t="n"/>
      <c r="D94" s="27" t="n"/>
      <c r="E94" s="27" t="n"/>
      <c r="F94" s="25">
        <f>IF(A94="","",IF(E94="","—",IF(E94&lt;TODAY(),"⚠️ EXPIRED","ACTIVE")))</f>
        <v/>
      </c>
      <c r="G94" s="25" t="n"/>
    </row>
    <row r="95">
      <c r="A95" s="25" t="n"/>
      <c r="B95" s="25" t="n"/>
      <c r="C95" s="26" t="n"/>
      <c r="D95" s="27" t="n"/>
      <c r="E95" s="27" t="n"/>
      <c r="F95" s="25">
        <f>IF(A95="","",IF(E95="","—",IF(E95&lt;TODAY(),"⚠️ EXPIRED","ACTIVE")))</f>
        <v/>
      </c>
      <c r="G95" s="25" t="n"/>
    </row>
    <row r="96">
      <c r="A96" s="25" t="n"/>
      <c r="B96" s="25" t="n"/>
      <c r="C96" s="26" t="n"/>
      <c r="D96" s="27" t="n"/>
      <c r="E96" s="27" t="n"/>
      <c r="F96" s="25">
        <f>IF(A96="","",IF(E96="","—",IF(E96&lt;TODAY(),"⚠️ EXPIRED","ACTIVE")))</f>
        <v/>
      </c>
      <c r="G96" s="25" t="n"/>
    </row>
    <row r="97">
      <c r="A97" s="25" t="n"/>
      <c r="B97" s="25" t="n"/>
      <c r="C97" s="26" t="n"/>
      <c r="D97" s="27" t="n"/>
      <c r="E97" s="27" t="n"/>
      <c r="F97" s="25">
        <f>IF(A97="","",IF(E97="","—",IF(E97&lt;TODAY(),"⚠️ EXPIRED","ACTIVE")))</f>
        <v/>
      </c>
      <c r="G97" s="25" t="n"/>
    </row>
    <row r="98">
      <c r="A98" s="25" t="n"/>
      <c r="B98" s="25" t="n"/>
      <c r="C98" s="26" t="n"/>
      <c r="D98" s="27" t="n"/>
      <c r="E98" s="27" t="n"/>
      <c r="F98" s="25">
        <f>IF(A98="","",IF(E98="","—",IF(E98&lt;TODAY(),"⚠️ EXPIRED","ACTIVE")))</f>
        <v/>
      </c>
      <c r="G98" s="25" t="n"/>
    </row>
    <row r="99">
      <c r="A99" s="25" t="n"/>
      <c r="B99" s="25" t="n"/>
      <c r="C99" s="26" t="n"/>
      <c r="D99" s="27" t="n"/>
      <c r="E99" s="27" t="n"/>
      <c r="F99" s="25">
        <f>IF(A99="","",IF(E99="","—",IF(E99&lt;TODAY(),"⚠️ EXPIRED","ACTIVE")))</f>
        <v/>
      </c>
      <c r="G99" s="25" t="n"/>
    </row>
    <row r="100">
      <c r="A100" s="25" t="n"/>
      <c r="B100" s="25" t="n"/>
      <c r="C100" s="26" t="n"/>
      <c r="D100" s="27" t="n"/>
      <c r="E100" s="27" t="n"/>
      <c r="F100" s="25">
        <f>IF(A100="","",IF(E100="","—",IF(E100&lt;TODAY(),"⚠️ EXPIRED","ACTIVE")))</f>
        <v/>
      </c>
      <c r="G100" s="25" t="n"/>
    </row>
    <row r="101">
      <c r="A101" s="25" t="n"/>
      <c r="B101" s="25" t="n"/>
      <c r="C101" s="26" t="n"/>
      <c r="D101" s="27" t="n"/>
      <c r="E101" s="27" t="n"/>
      <c r="F101" s="25">
        <f>IF(A101="","",IF(E101="","—",IF(E101&lt;TODAY(),"⚠️ EXPIRED","ACTIVE")))</f>
        <v/>
      </c>
      <c r="G101" s="25" t="n"/>
    </row>
    <row r="102">
      <c r="A102" s="25" t="n"/>
      <c r="B102" s="25" t="n"/>
      <c r="C102" s="26" t="n"/>
      <c r="D102" s="27" t="n"/>
      <c r="E102" s="27" t="n"/>
      <c r="F102" s="25">
        <f>IF(A102="","",IF(E102="","—",IF(E102&lt;TODAY(),"⚠️ EXPIRED","ACTIVE")))</f>
        <v/>
      </c>
      <c r="G102" s="25" t="n"/>
    </row>
    <row r="103">
      <c r="A103" s="25" t="n"/>
      <c r="B103" s="25" t="n"/>
      <c r="C103" s="26" t="n"/>
      <c r="D103" s="27" t="n"/>
      <c r="E103" s="27" t="n"/>
      <c r="F103" s="25">
        <f>IF(A103="","",IF(E103="","—",IF(E103&lt;TODAY(),"⚠️ EXPIRED","ACTIVE")))</f>
        <v/>
      </c>
      <c r="G103" s="25" t="n"/>
    </row>
    <row r="104">
      <c r="A104" s="25" t="n"/>
      <c r="B104" s="25" t="n"/>
      <c r="C104" s="26" t="n"/>
      <c r="D104" s="27" t="n"/>
      <c r="E104" s="27" t="n"/>
      <c r="F104" s="25">
        <f>IF(A104="","",IF(E104="","—",IF(E104&lt;TODAY(),"⚠️ EXPIRED","ACTIVE")))</f>
        <v/>
      </c>
      <c r="G104" s="25" t="n"/>
    </row>
    <row r="105">
      <c r="A105" s="25" t="n"/>
      <c r="B105" s="25" t="n"/>
      <c r="C105" s="26" t="n"/>
      <c r="D105" s="27" t="n"/>
      <c r="E105" s="27" t="n"/>
      <c r="F105" s="25">
        <f>IF(A105="","",IF(E105="","—",IF(E105&lt;TODAY(),"⚠️ EXPIRED","ACTIVE")))</f>
        <v/>
      </c>
      <c r="G105" s="25" t="n"/>
    </row>
    <row r="106">
      <c r="A106" s="25" t="n"/>
      <c r="B106" s="25" t="n"/>
      <c r="C106" s="26" t="n"/>
      <c r="D106" s="27" t="n"/>
      <c r="E106" s="27" t="n"/>
      <c r="F106" s="25">
        <f>IF(A106="","",IF(E106="","—",IF(E106&lt;TODAY(),"⚠️ EXPIRED","ACTIVE")))</f>
        <v/>
      </c>
      <c r="G106" s="25" t="n"/>
    </row>
    <row r="107">
      <c r="A107" s="25" t="n"/>
      <c r="B107" s="25" t="n"/>
      <c r="C107" s="26" t="n"/>
      <c r="D107" s="27" t="n"/>
      <c r="E107" s="27" t="n"/>
      <c r="F107" s="25">
        <f>IF(A107="","",IF(E107="","—",IF(E107&lt;TODAY(),"⚠️ EXPIRED","ACTIVE")))</f>
        <v/>
      </c>
      <c r="G107" s="25" t="n"/>
    </row>
    <row r="108">
      <c r="A108" s="25" t="n"/>
      <c r="B108" s="25" t="n"/>
      <c r="C108" s="26" t="n"/>
      <c r="D108" s="27" t="n"/>
      <c r="E108" s="27" t="n"/>
      <c r="F108" s="25">
        <f>IF(A108="","",IF(E108="","—",IF(E108&lt;TODAY(),"⚠️ EXPIRED","ACTIVE")))</f>
        <v/>
      </c>
      <c r="G108" s="25" t="n"/>
    </row>
    <row r="109">
      <c r="A109" s="25" t="n"/>
      <c r="B109" s="25" t="n"/>
      <c r="C109" s="26" t="n"/>
      <c r="D109" s="27" t="n"/>
      <c r="E109" s="27" t="n"/>
      <c r="F109" s="25">
        <f>IF(A109="","",IF(E109="","—",IF(E109&lt;TODAY(),"⚠️ EXPIRED","ACTIVE")))</f>
        <v/>
      </c>
      <c r="G109" s="25" t="n"/>
    </row>
    <row r="110">
      <c r="A110" s="25" t="n"/>
      <c r="B110" s="25" t="n"/>
      <c r="C110" s="26" t="n"/>
      <c r="D110" s="27" t="n"/>
      <c r="E110" s="27" t="n"/>
      <c r="F110" s="25">
        <f>IF(A110="","",IF(E110="","—",IF(E110&lt;TODAY(),"⚠️ EXPIRED","ACTIVE")))</f>
        <v/>
      </c>
      <c r="G110" s="25" t="n"/>
    </row>
    <row r="111">
      <c r="A111" s="25" t="n"/>
      <c r="B111" s="25" t="n"/>
      <c r="C111" s="26" t="n"/>
      <c r="D111" s="27" t="n"/>
      <c r="E111" s="27" t="n"/>
      <c r="F111" s="25">
        <f>IF(A111="","",IF(E111="","—",IF(E111&lt;TODAY(),"⚠️ EXPIRED","ACTIVE")))</f>
        <v/>
      </c>
      <c r="G111" s="25" t="n"/>
    </row>
    <row r="112">
      <c r="A112" s="25" t="n"/>
      <c r="B112" s="25" t="n"/>
      <c r="C112" s="26" t="n"/>
      <c r="D112" s="27" t="n"/>
      <c r="E112" s="27" t="n"/>
      <c r="F112" s="25">
        <f>IF(A112="","",IF(E112="","—",IF(E112&lt;TODAY(),"⚠️ EXPIRED","ACTIVE")))</f>
        <v/>
      </c>
      <c r="G112" s="25" t="n"/>
    </row>
    <row r="113">
      <c r="A113" s="25" t="n"/>
      <c r="B113" s="25" t="n"/>
      <c r="C113" s="26" t="n"/>
      <c r="D113" s="27" t="n"/>
      <c r="E113" s="27" t="n"/>
      <c r="F113" s="25">
        <f>IF(A113="","",IF(E113="","—",IF(E113&lt;TODAY(),"⚠️ EXPIRED","ACTIVE")))</f>
        <v/>
      </c>
      <c r="G113" s="25" t="n"/>
    </row>
    <row r="114">
      <c r="A114" s="25" t="n"/>
      <c r="B114" s="25" t="n"/>
      <c r="C114" s="26" t="n"/>
      <c r="D114" s="27" t="n"/>
      <c r="E114" s="27" t="n"/>
      <c r="F114" s="25">
        <f>IF(A114="","",IF(E114="","—",IF(E114&lt;TODAY(),"⚠️ EXPIRED","ACTIVE")))</f>
        <v/>
      </c>
      <c r="G114" s="25" t="n"/>
    </row>
    <row r="115">
      <c r="A115" s="25" t="n"/>
      <c r="B115" s="25" t="n"/>
      <c r="C115" s="26" t="n"/>
      <c r="D115" s="27" t="n"/>
      <c r="E115" s="27" t="n"/>
      <c r="F115" s="25">
        <f>IF(A115="","",IF(E115="","—",IF(E115&lt;TODAY(),"⚠️ EXPIRED","ACTIVE")))</f>
        <v/>
      </c>
      <c r="G115" s="25" t="n"/>
    </row>
    <row r="116">
      <c r="A116" s="25" t="n"/>
      <c r="B116" s="25" t="n"/>
      <c r="C116" s="26" t="n"/>
      <c r="D116" s="27" t="n"/>
      <c r="E116" s="27" t="n"/>
      <c r="F116" s="25">
        <f>IF(A116="","",IF(E116="","—",IF(E116&lt;TODAY(),"⚠️ EXPIRED","ACTIVE")))</f>
        <v/>
      </c>
      <c r="G116" s="25" t="n"/>
    </row>
    <row r="117">
      <c r="A117" s="25" t="n"/>
      <c r="B117" s="25" t="n"/>
      <c r="C117" s="26" t="n"/>
      <c r="D117" s="27" t="n"/>
      <c r="E117" s="27" t="n"/>
      <c r="F117" s="25">
        <f>IF(A117="","",IF(E117="","—",IF(E117&lt;TODAY(),"⚠️ EXPIRED","ACTIVE")))</f>
        <v/>
      </c>
      <c r="G117" s="25" t="n"/>
    </row>
    <row r="118">
      <c r="A118" s="25" t="n"/>
      <c r="B118" s="25" t="n"/>
      <c r="C118" s="26" t="n"/>
      <c r="D118" s="27" t="n"/>
      <c r="E118" s="27" t="n"/>
      <c r="F118" s="25">
        <f>IF(A118="","",IF(E118="","—",IF(E118&lt;TODAY(),"⚠️ EXPIRED","ACTIVE")))</f>
        <v/>
      </c>
      <c r="G118" s="25" t="n"/>
    </row>
    <row r="119">
      <c r="A119" s="25" t="n"/>
      <c r="B119" s="25" t="n"/>
      <c r="C119" s="26" t="n"/>
      <c r="D119" s="27" t="n"/>
      <c r="E119" s="27" t="n"/>
      <c r="F119" s="25">
        <f>IF(A119="","",IF(E119="","—",IF(E119&lt;TODAY(),"⚠️ EXPIRED","ACTIVE")))</f>
        <v/>
      </c>
      <c r="G119" s="25" t="n"/>
    </row>
    <row r="120">
      <c r="A120" s="25" t="n"/>
      <c r="B120" s="25" t="n"/>
      <c r="C120" s="26" t="n"/>
      <c r="D120" s="27" t="n"/>
      <c r="E120" s="27" t="n"/>
      <c r="F120" s="25">
        <f>IF(A120="","",IF(E120="","—",IF(E120&lt;TODAY(),"⚠️ EXPIRED","ACTIVE")))</f>
        <v/>
      </c>
      <c r="G120" s="25" t="n"/>
    </row>
    <row r="121">
      <c r="A121" s="25" t="n"/>
      <c r="B121" s="25" t="n"/>
      <c r="C121" s="26" t="n"/>
      <c r="D121" s="27" t="n"/>
      <c r="E121" s="27" t="n"/>
      <c r="F121" s="25">
        <f>IF(A121="","",IF(E121="","—",IF(E121&lt;TODAY(),"⚠️ EXPIRED","ACTIVE")))</f>
        <v/>
      </c>
      <c r="G121" s="25" t="n"/>
    </row>
    <row r="122">
      <c r="A122" s="25" t="n"/>
      <c r="B122" s="25" t="n"/>
      <c r="C122" s="26" t="n"/>
      <c r="D122" s="27" t="n"/>
      <c r="E122" s="27" t="n"/>
      <c r="F122" s="25">
        <f>IF(A122="","",IF(E122="","—",IF(E122&lt;TODAY(),"⚠️ EXPIRED","ACTIVE")))</f>
        <v/>
      </c>
      <c r="G122" s="25" t="n"/>
    </row>
    <row r="123">
      <c r="A123" s="25" t="n"/>
      <c r="B123" s="25" t="n"/>
      <c r="C123" s="26" t="n"/>
      <c r="D123" s="27" t="n"/>
      <c r="E123" s="27" t="n"/>
      <c r="F123" s="25">
        <f>IF(A123="","",IF(E123="","—",IF(E123&lt;TODAY(),"⚠️ EXPIRED","ACTIVE")))</f>
        <v/>
      </c>
      <c r="G123" s="25" t="n"/>
    </row>
    <row r="124">
      <c r="A124" s="25" t="n"/>
      <c r="B124" s="25" t="n"/>
      <c r="C124" s="26" t="n"/>
      <c r="D124" s="27" t="n"/>
      <c r="E124" s="27" t="n"/>
      <c r="F124" s="25">
        <f>IF(A124="","",IF(E124="","—",IF(E124&lt;TODAY(),"⚠️ EXPIRED","ACTIVE")))</f>
        <v/>
      </c>
      <c r="G124" s="25" t="n"/>
    </row>
    <row r="125">
      <c r="A125" s="25" t="n"/>
      <c r="B125" s="25" t="n"/>
      <c r="C125" s="26" t="n"/>
      <c r="D125" s="27" t="n"/>
      <c r="E125" s="27" t="n"/>
      <c r="F125" s="25">
        <f>IF(A125="","",IF(E125="","—",IF(E125&lt;TODAY(),"⚠️ EXPIRED","ACTIVE")))</f>
        <v/>
      </c>
      <c r="G125" s="25" t="n"/>
    </row>
    <row r="126">
      <c r="A126" s="25" t="n"/>
      <c r="B126" s="25" t="n"/>
      <c r="C126" s="26" t="n"/>
      <c r="D126" s="27" t="n"/>
      <c r="E126" s="27" t="n"/>
      <c r="F126" s="25">
        <f>IF(A126="","",IF(E126="","—",IF(E126&lt;TODAY(),"⚠️ EXPIRED","ACTIVE")))</f>
        <v/>
      </c>
      <c r="G126" s="25" t="n"/>
    </row>
    <row r="127">
      <c r="A127" s="25" t="n"/>
      <c r="B127" s="25" t="n"/>
      <c r="C127" s="26" t="n"/>
      <c r="D127" s="27" t="n"/>
      <c r="E127" s="27" t="n"/>
      <c r="F127" s="25">
        <f>IF(A127="","",IF(E127="","—",IF(E127&lt;TODAY(),"⚠️ EXPIRED","ACTIVE")))</f>
        <v/>
      </c>
      <c r="G127" s="25" t="n"/>
    </row>
    <row r="128">
      <c r="A128" s="25" t="n"/>
      <c r="B128" s="25" t="n"/>
      <c r="C128" s="26" t="n"/>
      <c r="D128" s="27" t="n"/>
      <c r="E128" s="27" t="n"/>
      <c r="F128" s="25">
        <f>IF(A128="","",IF(E128="","—",IF(E128&lt;TODAY(),"⚠️ EXPIRED","ACTIVE")))</f>
        <v/>
      </c>
      <c r="G128" s="25" t="n"/>
    </row>
    <row r="129">
      <c r="A129" s="25" t="n"/>
      <c r="B129" s="25" t="n"/>
      <c r="C129" s="26" t="n"/>
      <c r="D129" s="27" t="n"/>
      <c r="E129" s="27" t="n"/>
      <c r="F129" s="25">
        <f>IF(A129="","",IF(E129="","—",IF(E129&lt;TODAY(),"⚠️ EXPIRED","ACTIVE")))</f>
        <v/>
      </c>
      <c r="G129" s="25" t="n"/>
    </row>
    <row r="130">
      <c r="A130" s="25" t="n"/>
      <c r="B130" s="25" t="n"/>
      <c r="C130" s="26" t="n"/>
      <c r="D130" s="27" t="n"/>
      <c r="E130" s="27" t="n"/>
      <c r="F130" s="25">
        <f>IF(A130="","",IF(E130="","—",IF(E130&lt;TODAY(),"⚠️ EXPIRED","ACTIVE")))</f>
        <v/>
      </c>
      <c r="G130" s="25" t="n"/>
    </row>
    <row r="131">
      <c r="A131" s="25" t="n"/>
      <c r="B131" s="25" t="n"/>
      <c r="C131" s="26" t="n"/>
      <c r="D131" s="27" t="n"/>
      <c r="E131" s="27" t="n"/>
      <c r="F131" s="25">
        <f>IF(A131="","",IF(E131="","—",IF(E131&lt;TODAY(),"⚠️ EXPIRED","ACTIVE")))</f>
        <v/>
      </c>
      <c r="G131" s="25" t="n"/>
    </row>
    <row r="132">
      <c r="A132" s="25" t="n"/>
      <c r="B132" s="25" t="n"/>
      <c r="C132" s="26" t="n"/>
      <c r="D132" s="27" t="n"/>
      <c r="E132" s="27" t="n"/>
      <c r="F132" s="25">
        <f>IF(A132="","",IF(E132="","—",IF(E132&lt;TODAY(),"⚠️ EXPIRED","ACTIVE")))</f>
        <v/>
      </c>
      <c r="G132" s="25" t="n"/>
    </row>
    <row r="133">
      <c r="A133" s="25" t="n"/>
      <c r="B133" s="25" t="n"/>
      <c r="C133" s="26" t="n"/>
      <c r="D133" s="27" t="n"/>
      <c r="E133" s="27" t="n"/>
      <c r="F133" s="25">
        <f>IF(A133="","",IF(E133="","—",IF(E133&lt;TODAY(),"⚠️ EXPIRED","ACTIVE")))</f>
        <v/>
      </c>
      <c r="G133" s="25" t="n"/>
    </row>
    <row r="134">
      <c r="A134" s="25" t="n"/>
      <c r="B134" s="25" t="n"/>
      <c r="C134" s="26" t="n"/>
      <c r="D134" s="27" t="n"/>
      <c r="E134" s="27" t="n"/>
      <c r="F134" s="25">
        <f>IF(A134="","",IF(E134="","—",IF(E134&lt;TODAY(),"⚠️ EXPIRED","ACTIVE")))</f>
        <v/>
      </c>
      <c r="G134" s="25" t="n"/>
    </row>
    <row r="135">
      <c r="A135" s="25" t="n"/>
      <c r="B135" s="25" t="n"/>
      <c r="C135" s="26" t="n"/>
      <c r="D135" s="27" t="n"/>
      <c r="E135" s="27" t="n"/>
      <c r="F135" s="25">
        <f>IF(A135="","",IF(E135="","—",IF(E135&lt;TODAY(),"⚠️ EXPIRED","ACTIVE")))</f>
        <v/>
      </c>
      <c r="G135" s="25" t="n"/>
    </row>
    <row r="136">
      <c r="A136" s="25" t="n"/>
      <c r="B136" s="25" t="n"/>
      <c r="C136" s="26" t="n"/>
      <c r="D136" s="27" t="n"/>
      <c r="E136" s="27" t="n"/>
      <c r="F136" s="25">
        <f>IF(A136="","",IF(E136="","—",IF(E136&lt;TODAY(),"⚠️ EXPIRED","ACTIVE")))</f>
        <v/>
      </c>
      <c r="G136" s="25" t="n"/>
    </row>
    <row r="137">
      <c r="A137" s="25" t="n"/>
      <c r="B137" s="25" t="n"/>
      <c r="C137" s="26" t="n"/>
      <c r="D137" s="27" t="n"/>
      <c r="E137" s="27" t="n"/>
      <c r="F137" s="25">
        <f>IF(A137="","",IF(E137="","—",IF(E137&lt;TODAY(),"⚠️ EXPIRED","ACTIVE")))</f>
        <v/>
      </c>
      <c r="G137" s="25" t="n"/>
    </row>
    <row r="138">
      <c r="A138" s="25" t="n"/>
      <c r="B138" s="25" t="n"/>
      <c r="C138" s="26" t="n"/>
      <c r="D138" s="27" t="n"/>
      <c r="E138" s="27" t="n"/>
      <c r="F138" s="25">
        <f>IF(A138="","",IF(E138="","—",IF(E138&lt;TODAY(),"⚠️ EXPIRED","ACTIVE")))</f>
        <v/>
      </c>
      <c r="G138" s="25" t="n"/>
    </row>
    <row r="139">
      <c r="A139" s="25" t="n"/>
      <c r="B139" s="25" t="n"/>
      <c r="C139" s="26" t="n"/>
      <c r="D139" s="27" t="n"/>
      <c r="E139" s="27" t="n"/>
      <c r="F139" s="25">
        <f>IF(A139="","",IF(E139="","—",IF(E139&lt;TODAY(),"⚠️ EXPIRED","ACTIVE")))</f>
        <v/>
      </c>
      <c r="G139" s="25" t="n"/>
    </row>
    <row r="140">
      <c r="A140" s="25" t="n"/>
      <c r="B140" s="25" t="n"/>
      <c r="C140" s="26" t="n"/>
      <c r="D140" s="27" t="n"/>
      <c r="E140" s="27" t="n"/>
      <c r="F140" s="25">
        <f>IF(A140="","",IF(E140="","—",IF(E140&lt;TODAY(),"⚠️ EXPIRED","ACTIVE")))</f>
        <v/>
      </c>
      <c r="G140" s="25" t="n"/>
    </row>
    <row r="141">
      <c r="A141" s="25" t="n"/>
      <c r="B141" s="25" t="n"/>
      <c r="C141" s="26" t="n"/>
      <c r="D141" s="27" t="n"/>
      <c r="E141" s="27" t="n"/>
      <c r="F141" s="25">
        <f>IF(A141="","",IF(E141="","—",IF(E141&lt;TODAY(),"⚠️ EXPIRED","ACTIVE")))</f>
        <v/>
      </c>
      <c r="G141" s="25" t="n"/>
    </row>
    <row r="142">
      <c r="A142" s="25" t="n"/>
      <c r="B142" s="25" t="n"/>
      <c r="C142" s="26" t="n"/>
      <c r="D142" s="27" t="n"/>
      <c r="E142" s="27" t="n"/>
      <c r="F142" s="25">
        <f>IF(A142="","",IF(E142="","—",IF(E142&lt;TODAY(),"⚠️ EXPIRED","ACTIVE")))</f>
        <v/>
      </c>
      <c r="G142" s="25" t="n"/>
    </row>
    <row r="143">
      <c r="A143" s="25" t="n"/>
      <c r="B143" s="25" t="n"/>
      <c r="C143" s="26" t="n"/>
      <c r="D143" s="27" t="n"/>
      <c r="E143" s="27" t="n"/>
      <c r="F143" s="25">
        <f>IF(A143="","",IF(E143="","—",IF(E143&lt;TODAY(),"⚠️ EXPIRED","ACTIVE")))</f>
        <v/>
      </c>
      <c r="G143" s="25" t="n"/>
    </row>
    <row r="144">
      <c r="A144" s="25" t="n"/>
      <c r="B144" s="25" t="n"/>
      <c r="C144" s="26" t="n"/>
      <c r="D144" s="27" t="n"/>
      <c r="E144" s="27" t="n"/>
      <c r="F144" s="25">
        <f>IF(A144="","",IF(E144="","—",IF(E144&lt;TODAY(),"⚠️ EXPIRED","ACTIVE")))</f>
        <v/>
      </c>
      <c r="G144" s="25" t="n"/>
    </row>
    <row r="145">
      <c r="A145" s="25" t="n"/>
      <c r="B145" s="25" t="n"/>
      <c r="C145" s="26" t="n"/>
      <c r="D145" s="27" t="n"/>
      <c r="E145" s="27" t="n"/>
      <c r="F145" s="25">
        <f>IF(A145="","",IF(E145="","—",IF(E145&lt;TODAY(),"⚠️ EXPIRED","ACTIVE")))</f>
        <v/>
      </c>
      <c r="G145" s="25" t="n"/>
    </row>
    <row r="146">
      <c r="A146" s="25" t="n"/>
      <c r="B146" s="25" t="n"/>
      <c r="C146" s="26" t="n"/>
      <c r="D146" s="27" t="n"/>
      <c r="E146" s="27" t="n"/>
      <c r="F146" s="25">
        <f>IF(A146="","",IF(E146="","—",IF(E146&lt;TODAY(),"⚠️ EXPIRED","ACTIVE")))</f>
        <v/>
      </c>
      <c r="G146" s="25" t="n"/>
    </row>
    <row r="147">
      <c r="A147" s="25" t="n"/>
      <c r="B147" s="25" t="n"/>
      <c r="C147" s="26" t="n"/>
      <c r="D147" s="27" t="n"/>
      <c r="E147" s="27" t="n"/>
      <c r="F147" s="25">
        <f>IF(A147="","",IF(E147="","—",IF(E147&lt;TODAY(),"⚠️ EXPIRED","ACTIVE")))</f>
        <v/>
      </c>
      <c r="G147" s="25" t="n"/>
    </row>
    <row r="148">
      <c r="A148" s="25" t="n"/>
      <c r="B148" s="25" t="n"/>
      <c r="C148" s="26" t="n"/>
      <c r="D148" s="27" t="n"/>
      <c r="E148" s="27" t="n"/>
      <c r="F148" s="25">
        <f>IF(A148="","",IF(E148="","—",IF(E148&lt;TODAY(),"⚠️ EXPIRED","ACTIVE")))</f>
        <v/>
      </c>
      <c r="G148" s="25" t="n"/>
    </row>
    <row r="149">
      <c r="A149" s="25" t="n"/>
      <c r="B149" s="25" t="n"/>
      <c r="C149" s="26" t="n"/>
      <c r="D149" s="27" t="n"/>
      <c r="E149" s="27" t="n"/>
      <c r="F149" s="25">
        <f>IF(A149="","",IF(E149="","—",IF(E149&lt;TODAY(),"⚠️ EXPIRED","ACTIVE")))</f>
        <v/>
      </c>
      <c r="G149" s="25" t="n"/>
    </row>
    <row r="150">
      <c r="A150" s="25" t="n"/>
      <c r="B150" s="25" t="n"/>
      <c r="C150" s="26" t="n"/>
      <c r="D150" s="27" t="n"/>
      <c r="E150" s="27" t="n"/>
      <c r="F150" s="25">
        <f>IF(A150="","",IF(E150="","—",IF(E150&lt;TODAY(),"⚠️ EXPIRED","ACTIVE")))</f>
        <v/>
      </c>
      <c r="G150" s="25" t="n"/>
    </row>
    <row r="151">
      <c r="A151" s="25" t="n"/>
      <c r="B151" s="25" t="n"/>
      <c r="C151" s="26" t="n"/>
      <c r="D151" s="27" t="n"/>
      <c r="E151" s="27" t="n"/>
      <c r="F151" s="25">
        <f>IF(A151="","",IF(E151="","—",IF(E151&lt;TODAY(),"⚠️ EXPIRED","ACTIVE")))</f>
        <v/>
      </c>
      <c r="G151" s="25" t="n"/>
    </row>
    <row r="152">
      <c r="A152" s="25" t="n"/>
      <c r="B152" s="25" t="n"/>
      <c r="C152" s="26" t="n"/>
      <c r="D152" s="27" t="n"/>
      <c r="E152" s="27" t="n"/>
      <c r="F152" s="25">
        <f>IF(A152="","",IF(E152="","—",IF(E152&lt;TODAY(),"⚠️ EXPIRED","ACTIVE")))</f>
        <v/>
      </c>
      <c r="G152" s="25" t="n"/>
    </row>
    <row r="153">
      <c r="A153" s="25" t="n"/>
      <c r="B153" s="25" t="n"/>
      <c r="C153" s="26" t="n"/>
      <c r="D153" s="27" t="n"/>
      <c r="E153" s="27" t="n"/>
      <c r="F153" s="25">
        <f>IF(A153="","",IF(E153="","—",IF(E153&lt;TODAY(),"⚠️ EXPIRED","ACTIVE")))</f>
        <v/>
      </c>
      <c r="G153" s="25" t="n"/>
    </row>
    <row r="154">
      <c r="A154" s="25" t="n"/>
      <c r="B154" s="25" t="n"/>
      <c r="C154" s="26" t="n"/>
      <c r="D154" s="27" t="n"/>
      <c r="E154" s="27" t="n"/>
      <c r="F154" s="25">
        <f>IF(A154="","",IF(E154="","—",IF(E154&lt;TODAY(),"⚠️ EXPIRED","ACTIVE")))</f>
        <v/>
      </c>
      <c r="G154" s="25" t="n"/>
    </row>
    <row r="155">
      <c r="A155" s="25" t="n"/>
      <c r="B155" s="25" t="n"/>
      <c r="C155" s="26" t="n"/>
      <c r="D155" s="27" t="n"/>
      <c r="E155" s="27" t="n"/>
      <c r="F155" s="25">
        <f>IF(A155="","",IF(E155="","—",IF(E155&lt;TODAY(),"⚠️ EXPIRED","ACTIVE")))</f>
        <v/>
      </c>
      <c r="G155" s="25" t="n"/>
    </row>
    <row r="156">
      <c r="A156" s="25" t="n"/>
      <c r="B156" s="25" t="n"/>
      <c r="C156" s="26" t="n"/>
      <c r="D156" s="27" t="n"/>
      <c r="E156" s="27" t="n"/>
      <c r="F156" s="25">
        <f>IF(A156="","",IF(E156="","—",IF(E156&lt;TODAY(),"⚠️ EXPIRED","ACTIVE")))</f>
        <v/>
      </c>
      <c r="G156" s="25" t="n"/>
    </row>
    <row r="157">
      <c r="A157" s="25" t="n"/>
      <c r="B157" s="25" t="n"/>
      <c r="C157" s="26" t="n"/>
      <c r="D157" s="27" t="n"/>
      <c r="E157" s="27" t="n"/>
      <c r="F157" s="25">
        <f>IF(A157="","",IF(E157="","—",IF(E157&lt;TODAY(),"⚠️ EXPIRED","ACTIVE")))</f>
        <v/>
      </c>
      <c r="G157" s="25" t="n"/>
    </row>
    <row r="158">
      <c r="A158" s="25" t="n"/>
      <c r="B158" s="25" t="n"/>
      <c r="C158" s="26" t="n"/>
      <c r="D158" s="27" t="n"/>
      <c r="E158" s="27" t="n"/>
      <c r="F158" s="25">
        <f>IF(A158="","",IF(E158="","—",IF(E158&lt;TODAY(),"⚠️ EXPIRED","ACTIVE")))</f>
        <v/>
      </c>
      <c r="G158" s="25" t="n"/>
    </row>
    <row r="159">
      <c r="A159" s="25" t="n"/>
      <c r="B159" s="25" t="n"/>
      <c r="C159" s="26" t="n"/>
      <c r="D159" s="27" t="n"/>
      <c r="E159" s="27" t="n"/>
      <c r="F159" s="25">
        <f>IF(A159="","",IF(E159="","—",IF(E159&lt;TODAY(),"⚠️ EXPIRED","ACTIVE")))</f>
        <v/>
      </c>
      <c r="G159" s="25" t="n"/>
    </row>
    <row r="160">
      <c r="A160" s="25" t="n"/>
      <c r="B160" s="25" t="n"/>
      <c r="C160" s="26" t="n"/>
      <c r="D160" s="27" t="n"/>
      <c r="E160" s="27" t="n"/>
      <c r="F160" s="25">
        <f>IF(A160="","",IF(E160="","—",IF(E160&lt;TODAY(),"⚠️ EXPIRED","ACTIVE")))</f>
        <v/>
      </c>
      <c r="G160" s="25" t="n"/>
    </row>
    <row r="161">
      <c r="A161" s="25" t="n"/>
      <c r="B161" s="25" t="n"/>
      <c r="C161" s="26" t="n"/>
      <c r="D161" s="27" t="n"/>
      <c r="E161" s="27" t="n"/>
      <c r="F161" s="25">
        <f>IF(A161="","",IF(E161="","—",IF(E161&lt;TODAY(),"⚠️ EXPIRED","ACTIVE")))</f>
        <v/>
      </c>
      <c r="G161" s="25" t="n"/>
    </row>
    <row r="162">
      <c r="A162" s="25" t="n"/>
      <c r="B162" s="25" t="n"/>
      <c r="C162" s="26" t="n"/>
      <c r="D162" s="27" t="n"/>
      <c r="E162" s="27" t="n"/>
      <c r="F162" s="25">
        <f>IF(A162="","",IF(E162="","—",IF(E162&lt;TODAY(),"⚠️ EXPIRED","ACTIVE")))</f>
        <v/>
      </c>
      <c r="G162" s="25" t="n"/>
    </row>
    <row r="163">
      <c r="A163" s="25" t="n"/>
      <c r="B163" s="25" t="n"/>
      <c r="C163" s="26" t="n"/>
      <c r="D163" s="27" t="n"/>
      <c r="E163" s="27" t="n"/>
      <c r="F163" s="25">
        <f>IF(A163="","",IF(E163="","—",IF(E163&lt;TODAY(),"⚠️ EXPIRED","ACTIVE")))</f>
        <v/>
      </c>
      <c r="G163" s="25" t="n"/>
    </row>
    <row r="164">
      <c r="A164" s="25" t="n"/>
      <c r="B164" s="25" t="n"/>
      <c r="C164" s="26" t="n"/>
      <c r="D164" s="27" t="n"/>
      <c r="E164" s="27" t="n"/>
      <c r="F164" s="25">
        <f>IF(A164="","",IF(E164="","—",IF(E164&lt;TODAY(),"⚠️ EXPIRED","ACTIVE")))</f>
        <v/>
      </c>
      <c r="G164" s="25" t="n"/>
    </row>
    <row r="165">
      <c r="A165" s="25" t="n"/>
      <c r="B165" s="25" t="n"/>
      <c r="C165" s="26" t="n"/>
      <c r="D165" s="27" t="n"/>
      <c r="E165" s="27" t="n"/>
      <c r="F165" s="25">
        <f>IF(A165="","",IF(E165="","—",IF(E165&lt;TODAY(),"⚠️ EXPIRED","ACTIVE")))</f>
        <v/>
      </c>
      <c r="G165" s="25" t="n"/>
    </row>
    <row r="166">
      <c r="A166" s="25" t="n"/>
      <c r="B166" s="25" t="n"/>
      <c r="C166" s="26" t="n"/>
      <c r="D166" s="27" t="n"/>
      <c r="E166" s="27" t="n"/>
      <c r="F166" s="25">
        <f>IF(A166="","",IF(E166="","—",IF(E166&lt;TODAY(),"⚠️ EXPIRED","ACTIVE")))</f>
        <v/>
      </c>
      <c r="G166" s="25" t="n"/>
    </row>
    <row r="167">
      <c r="A167" s="25" t="n"/>
      <c r="B167" s="25" t="n"/>
      <c r="C167" s="26" t="n"/>
      <c r="D167" s="27" t="n"/>
      <c r="E167" s="27" t="n"/>
      <c r="F167" s="25">
        <f>IF(A167="","",IF(E167="","—",IF(E167&lt;TODAY(),"⚠️ EXPIRED","ACTIVE")))</f>
        <v/>
      </c>
      <c r="G167" s="25" t="n"/>
    </row>
    <row r="168">
      <c r="A168" s="25" t="n"/>
      <c r="B168" s="25" t="n"/>
      <c r="C168" s="26" t="n"/>
      <c r="D168" s="27" t="n"/>
      <c r="E168" s="27" t="n"/>
      <c r="F168" s="25">
        <f>IF(A168="","",IF(E168="","—",IF(E168&lt;TODAY(),"⚠️ EXPIRED","ACTIVE")))</f>
        <v/>
      </c>
      <c r="G168" s="25" t="n"/>
    </row>
    <row r="169">
      <c r="A169" s="25" t="n"/>
      <c r="B169" s="25" t="n"/>
      <c r="C169" s="26" t="n"/>
      <c r="D169" s="27" t="n"/>
      <c r="E169" s="27" t="n"/>
      <c r="F169" s="25">
        <f>IF(A169="","",IF(E169="","—",IF(E169&lt;TODAY(),"⚠️ EXPIRED","ACTIVE")))</f>
        <v/>
      </c>
      <c r="G169" s="25" t="n"/>
    </row>
    <row r="170">
      <c r="A170" s="25" t="n"/>
      <c r="B170" s="25" t="n"/>
      <c r="C170" s="26" t="n"/>
      <c r="D170" s="27" t="n"/>
      <c r="E170" s="27" t="n"/>
      <c r="F170" s="25">
        <f>IF(A170="","",IF(E170="","—",IF(E170&lt;TODAY(),"⚠️ EXPIRED","ACTIVE")))</f>
        <v/>
      </c>
      <c r="G170" s="25" t="n"/>
    </row>
    <row r="171">
      <c r="A171" s="25" t="n"/>
      <c r="B171" s="25" t="n"/>
      <c r="C171" s="26" t="n"/>
      <c r="D171" s="27" t="n"/>
      <c r="E171" s="27" t="n"/>
      <c r="F171" s="25">
        <f>IF(A171="","",IF(E171="","—",IF(E171&lt;TODAY(),"⚠️ EXPIRED","ACTIVE")))</f>
        <v/>
      </c>
      <c r="G171" s="25" t="n"/>
    </row>
    <row r="172">
      <c r="A172" s="25" t="n"/>
      <c r="B172" s="25" t="n"/>
      <c r="C172" s="26" t="n"/>
      <c r="D172" s="27" t="n"/>
      <c r="E172" s="27" t="n"/>
      <c r="F172" s="25">
        <f>IF(A172="","",IF(E172="","—",IF(E172&lt;TODAY(),"⚠️ EXPIRED","ACTIVE")))</f>
        <v/>
      </c>
      <c r="G172" s="25" t="n"/>
    </row>
    <row r="173">
      <c r="A173" s="25" t="n"/>
      <c r="B173" s="25" t="n"/>
      <c r="C173" s="26" t="n"/>
      <c r="D173" s="27" t="n"/>
      <c r="E173" s="27" t="n"/>
      <c r="F173" s="25">
        <f>IF(A173="","",IF(E173="","—",IF(E173&lt;TODAY(),"⚠️ EXPIRED","ACTIVE")))</f>
        <v/>
      </c>
      <c r="G173" s="25" t="n"/>
    </row>
    <row r="174">
      <c r="A174" s="25" t="n"/>
      <c r="B174" s="25" t="n"/>
      <c r="C174" s="26" t="n"/>
      <c r="D174" s="27" t="n"/>
      <c r="E174" s="27" t="n"/>
      <c r="F174" s="25">
        <f>IF(A174="","",IF(E174="","—",IF(E174&lt;TODAY(),"⚠️ EXPIRED","ACTIVE")))</f>
        <v/>
      </c>
      <c r="G174" s="25" t="n"/>
    </row>
    <row r="175">
      <c r="A175" s="25" t="n"/>
      <c r="B175" s="25" t="n"/>
      <c r="C175" s="26" t="n"/>
      <c r="D175" s="27" t="n"/>
      <c r="E175" s="27" t="n"/>
      <c r="F175" s="25">
        <f>IF(A175="","",IF(E175="","—",IF(E175&lt;TODAY(),"⚠️ EXPIRED","ACTIVE")))</f>
        <v/>
      </c>
      <c r="G175" s="25" t="n"/>
    </row>
    <row r="176">
      <c r="A176" s="25" t="n"/>
      <c r="B176" s="25" t="n"/>
      <c r="C176" s="26" t="n"/>
      <c r="D176" s="27" t="n"/>
      <c r="E176" s="27" t="n"/>
      <c r="F176" s="25">
        <f>IF(A176="","",IF(E176="","—",IF(E176&lt;TODAY(),"⚠️ EXPIRED","ACTIVE")))</f>
        <v/>
      </c>
      <c r="G176" s="25" t="n"/>
    </row>
    <row r="177">
      <c r="A177" s="25" t="n"/>
      <c r="B177" s="25" t="n"/>
      <c r="C177" s="26" t="n"/>
      <c r="D177" s="27" t="n"/>
      <c r="E177" s="27" t="n"/>
      <c r="F177" s="25">
        <f>IF(A177="","",IF(E177="","—",IF(E177&lt;TODAY(),"⚠️ EXPIRED","ACTIVE")))</f>
        <v/>
      </c>
      <c r="G177" s="25" t="n"/>
    </row>
    <row r="178">
      <c r="A178" s="25" t="n"/>
      <c r="B178" s="25" t="n"/>
      <c r="C178" s="26" t="n"/>
      <c r="D178" s="27" t="n"/>
      <c r="E178" s="27" t="n"/>
      <c r="F178" s="25">
        <f>IF(A178="","",IF(E178="","—",IF(E178&lt;TODAY(),"⚠️ EXPIRED","ACTIVE")))</f>
        <v/>
      </c>
      <c r="G178" s="25" t="n"/>
    </row>
    <row r="179">
      <c r="A179" s="25" t="n"/>
      <c r="B179" s="25" t="n"/>
      <c r="C179" s="26" t="n"/>
      <c r="D179" s="27" t="n"/>
      <c r="E179" s="27" t="n"/>
      <c r="F179" s="25">
        <f>IF(A179="","",IF(E179="","—",IF(E179&lt;TODAY(),"⚠️ EXPIRED","ACTIVE")))</f>
        <v/>
      </c>
      <c r="G179" s="25" t="n"/>
    </row>
    <row r="180">
      <c r="A180" s="25" t="n"/>
      <c r="B180" s="25" t="n"/>
      <c r="C180" s="26" t="n"/>
      <c r="D180" s="27" t="n"/>
      <c r="E180" s="27" t="n"/>
      <c r="F180" s="25">
        <f>IF(A180="","",IF(E180="","—",IF(E180&lt;TODAY(),"⚠️ EXPIRED","ACTIVE")))</f>
        <v/>
      </c>
      <c r="G180" s="25" t="n"/>
    </row>
    <row r="181">
      <c r="A181" s="25" t="n"/>
      <c r="B181" s="25" t="n"/>
      <c r="C181" s="26" t="n"/>
      <c r="D181" s="27" t="n"/>
      <c r="E181" s="27" t="n"/>
      <c r="F181" s="25">
        <f>IF(A181="","",IF(E181="","—",IF(E181&lt;TODAY(),"⚠️ EXPIRED","ACTIVE")))</f>
        <v/>
      </c>
      <c r="G181" s="25" t="n"/>
    </row>
    <row r="182">
      <c r="A182" s="25" t="n"/>
      <c r="B182" s="25" t="n"/>
      <c r="C182" s="26" t="n"/>
      <c r="D182" s="27" t="n"/>
      <c r="E182" s="27" t="n"/>
      <c r="F182" s="25">
        <f>IF(A182="","",IF(E182="","—",IF(E182&lt;TODAY(),"⚠️ EXPIRED","ACTIVE")))</f>
        <v/>
      </c>
      <c r="G182" s="25" t="n"/>
    </row>
    <row r="183">
      <c r="A183" s="25" t="n"/>
      <c r="B183" s="25" t="n"/>
      <c r="C183" s="26" t="n"/>
      <c r="D183" s="27" t="n"/>
      <c r="E183" s="27" t="n"/>
      <c r="F183" s="25">
        <f>IF(A183="","",IF(E183="","—",IF(E183&lt;TODAY(),"⚠️ EXPIRED","ACTIVE")))</f>
        <v/>
      </c>
      <c r="G183" s="25" t="n"/>
    </row>
    <row r="184">
      <c r="A184" s="25" t="n"/>
      <c r="B184" s="25" t="n"/>
      <c r="C184" s="26" t="n"/>
      <c r="D184" s="27" t="n"/>
      <c r="E184" s="27" t="n"/>
      <c r="F184" s="25">
        <f>IF(A184="","",IF(E184="","—",IF(E184&lt;TODAY(),"⚠️ EXPIRED","ACTIVE")))</f>
        <v/>
      </c>
      <c r="G184" s="25" t="n"/>
    </row>
    <row r="185">
      <c r="A185" s="25" t="n"/>
      <c r="B185" s="25" t="n"/>
      <c r="C185" s="26" t="n"/>
      <c r="D185" s="27" t="n"/>
      <c r="E185" s="27" t="n"/>
      <c r="F185" s="25">
        <f>IF(A185="","",IF(E185="","—",IF(E185&lt;TODAY(),"⚠️ EXPIRED","ACTIVE")))</f>
        <v/>
      </c>
      <c r="G185" s="25" t="n"/>
    </row>
    <row r="186">
      <c r="A186" s="25" t="n"/>
      <c r="B186" s="25" t="n"/>
      <c r="C186" s="26" t="n"/>
      <c r="D186" s="27" t="n"/>
      <c r="E186" s="27" t="n"/>
      <c r="F186" s="25">
        <f>IF(A186="","",IF(E186="","—",IF(E186&lt;TODAY(),"⚠️ EXPIRED","ACTIVE")))</f>
        <v/>
      </c>
      <c r="G186" s="25" t="n"/>
    </row>
    <row r="187">
      <c r="A187" s="25" t="n"/>
      <c r="B187" s="25" t="n"/>
      <c r="C187" s="26" t="n"/>
      <c r="D187" s="27" t="n"/>
      <c r="E187" s="27" t="n"/>
      <c r="F187" s="25">
        <f>IF(A187="","",IF(E187="","—",IF(E187&lt;TODAY(),"⚠️ EXPIRED","ACTIVE")))</f>
        <v/>
      </c>
      <c r="G187" s="25" t="n"/>
    </row>
    <row r="188">
      <c r="A188" s="25" t="n"/>
      <c r="B188" s="25" t="n"/>
      <c r="C188" s="26" t="n"/>
      <c r="D188" s="27" t="n"/>
      <c r="E188" s="27" t="n"/>
      <c r="F188" s="25">
        <f>IF(A188="","",IF(E188="","—",IF(E188&lt;TODAY(),"⚠️ EXPIRED","ACTIVE")))</f>
        <v/>
      </c>
      <c r="G188" s="25" t="n"/>
    </row>
    <row r="189">
      <c r="A189" s="25" t="n"/>
      <c r="B189" s="25" t="n"/>
      <c r="C189" s="26" t="n"/>
      <c r="D189" s="27" t="n"/>
      <c r="E189" s="27" t="n"/>
      <c r="F189" s="25">
        <f>IF(A189="","",IF(E189="","—",IF(E189&lt;TODAY(),"⚠️ EXPIRED","ACTIVE")))</f>
        <v/>
      </c>
      <c r="G189" s="25" t="n"/>
    </row>
    <row r="190">
      <c r="A190" s="25" t="n"/>
      <c r="B190" s="25" t="n"/>
      <c r="C190" s="26" t="n"/>
      <c r="D190" s="27" t="n"/>
      <c r="E190" s="27" t="n"/>
      <c r="F190" s="25">
        <f>IF(A190="","",IF(E190="","—",IF(E190&lt;TODAY(),"⚠️ EXPIRED","ACTIVE")))</f>
        <v/>
      </c>
      <c r="G190" s="25" t="n"/>
    </row>
    <row r="191">
      <c r="A191" s="25" t="n"/>
      <c r="B191" s="25" t="n"/>
      <c r="C191" s="26" t="n"/>
      <c r="D191" s="27" t="n"/>
      <c r="E191" s="27" t="n"/>
      <c r="F191" s="25">
        <f>IF(A191="","",IF(E191="","—",IF(E191&lt;TODAY(),"⚠️ EXPIRED","ACTIVE")))</f>
        <v/>
      </c>
      <c r="G191" s="25" t="n"/>
    </row>
    <row r="192">
      <c r="A192" s="25" t="n"/>
      <c r="B192" s="25" t="n"/>
      <c r="C192" s="26" t="n"/>
      <c r="D192" s="27" t="n"/>
      <c r="E192" s="27" t="n"/>
      <c r="F192" s="25">
        <f>IF(A192="","",IF(E192="","—",IF(E192&lt;TODAY(),"⚠️ EXPIRED","ACTIVE")))</f>
        <v/>
      </c>
      <c r="G192" s="25" t="n"/>
    </row>
    <row r="193">
      <c r="A193" s="25" t="n"/>
      <c r="B193" s="25" t="n"/>
      <c r="C193" s="26" t="n"/>
      <c r="D193" s="27" t="n"/>
      <c r="E193" s="27" t="n"/>
      <c r="F193" s="25">
        <f>IF(A193="","",IF(E193="","—",IF(E193&lt;TODAY(),"⚠️ EXPIRED","ACTIVE")))</f>
        <v/>
      </c>
      <c r="G193" s="25" t="n"/>
    </row>
    <row r="194">
      <c r="A194" s="25" t="n"/>
      <c r="B194" s="25" t="n"/>
      <c r="C194" s="26" t="n"/>
      <c r="D194" s="27" t="n"/>
      <c r="E194" s="27" t="n"/>
      <c r="F194" s="25">
        <f>IF(A194="","",IF(E194="","—",IF(E194&lt;TODAY(),"⚠️ EXPIRED","ACTIVE")))</f>
        <v/>
      </c>
      <c r="G194" s="25" t="n"/>
    </row>
    <row r="195">
      <c r="A195" s="25" t="n"/>
      <c r="B195" s="25" t="n"/>
      <c r="C195" s="26" t="n"/>
      <c r="D195" s="27" t="n"/>
      <c r="E195" s="27" t="n"/>
      <c r="F195" s="25">
        <f>IF(A195="","",IF(E195="","—",IF(E195&lt;TODAY(),"⚠️ EXPIRED","ACTIVE")))</f>
        <v/>
      </c>
      <c r="G195" s="25" t="n"/>
    </row>
    <row r="196">
      <c r="A196" s="25" t="n"/>
      <c r="B196" s="25" t="n"/>
      <c r="C196" s="26" t="n"/>
      <c r="D196" s="27" t="n"/>
      <c r="E196" s="27" t="n"/>
      <c r="F196" s="25">
        <f>IF(A196="","",IF(E196="","—",IF(E196&lt;TODAY(),"⚠️ EXPIRED","ACTIVE")))</f>
        <v/>
      </c>
      <c r="G196" s="25" t="n"/>
    </row>
    <row r="197">
      <c r="A197" s="25" t="n"/>
      <c r="B197" s="25" t="n"/>
      <c r="C197" s="26" t="n"/>
      <c r="D197" s="27" t="n"/>
      <c r="E197" s="27" t="n"/>
      <c r="F197" s="25">
        <f>IF(A197="","",IF(E197="","—",IF(E197&lt;TODAY(),"⚠️ EXPIRED","ACTIVE")))</f>
        <v/>
      </c>
      <c r="G197" s="25" t="n"/>
    </row>
    <row r="198">
      <c r="A198" s="25" t="n"/>
      <c r="B198" s="25" t="n"/>
      <c r="C198" s="26" t="n"/>
      <c r="D198" s="27" t="n"/>
      <c r="E198" s="27" t="n"/>
      <c r="F198" s="25">
        <f>IF(A198="","",IF(E198="","—",IF(E198&lt;TODAY(),"⚠️ EXPIRED","ACTIVE")))</f>
        <v/>
      </c>
      <c r="G198" s="25" t="n"/>
    </row>
    <row r="199">
      <c r="A199" s="25" t="n"/>
      <c r="B199" s="25" t="n"/>
      <c r="C199" s="26" t="n"/>
      <c r="D199" s="27" t="n"/>
      <c r="E199" s="27" t="n"/>
      <c r="F199" s="25">
        <f>IF(A199="","",IF(E199="","—",IF(E199&lt;TODAY(),"⚠️ EXPIRED","ACTIVE")))</f>
        <v/>
      </c>
      <c r="G199" s="25" t="n"/>
    </row>
    <row r="200">
      <c r="A200" s="25" t="n"/>
      <c r="B200" s="25" t="n"/>
      <c r="C200" s="26" t="n"/>
      <c r="D200" s="27" t="n"/>
      <c r="E200" s="27" t="n"/>
      <c r="F200" s="25">
        <f>IF(A200="","",IF(E200="","—",IF(E200&lt;TODAY(),"⚠️ EXPIRED","ACTIVE")))</f>
        <v/>
      </c>
      <c r="G200" s="25" t="n"/>
    </row>
    <row r="201">
      <c r="A201" s="25" t="n"/>
      <c r="B201" s="25" t="n"/>
      <c r="C201" s="26" t="n"/>
      <c r="D201" s="27" t="n"/>
      <c r="E201" s="27" t="n"/>
      <c r="F201" s="25">
        <f>IF(A201="","",IF(E201="","—",IF(E201&lt;TODAY(),"⚠️ EXPIRED","ACTIVE")))</f>
        <v/>
      </c>
      <c r="G201" s="25" t="n"/>
    </row>
  </sheetData>
  <autoFilter ref="A1:G201"/>
  <conditionalFormatting sqref="F2:F201">
    <cfRule type="expression" priority="1" dxfId="0">
      <formula>$F2="⚠️ EXPIRED"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5" customWidth="1" min="4" max="4"/>
    <col width="12" customWidth="1" min="5" max="5"/>
    <col width="13" customWidth="1" min="6" max="6"/>
    <col width="12" customWidth="1" min="7" max="7"/>
  </cols>
  <sheetData>
    <row r="1">
      <c r="A1" s="24" t="inlineStr">
        <is>
          <t>Rent Month</t>
        </is>
      </c>
      <c r="B1" s="24" t="inlineStr">
        <is>
          <t>Property</t>
        </is>
      </c>
      <c r="C1" s="24" t="inlineStr">
        <is>
          <t>Rent Due (₱)</t>
        </is>
      </c>
      <c r="D1" s="24" t="inlineStr">
        <is>
          <t>Amount Paid (₱)</t>
        </is>
      </c>
      <c r="E1" s="24" t="inlineStr">
        <is>
          <t>Date Paid</t>
        </is>
      </c>
      <c r="F1" s="24" t="inlineStr">
        <is>
          <t>Balance (₱)</t>
        </is>
      </c>
      <c r="G1" s="24" t="inlineStr">
        <is>
          <t>Status</t>
        </is>
      </c>
    </row>
    <row r="2">
      <c r="A2" s="27" t="n">
        <v>46204</v>
      </c>
      <c r="B2" s="25" t="inlineStr">
        <is>
          <t>Unit 2A — Maple St.</t>
        </is>
      </c>
      <c r="C2" s="26" t="n">
        <v>12000</v>
      </c>
      <c r="D2" s="26" t="n">
        <v>12000</v>
      </c>
      <c r="E2" s="27" t="n">
        <v>46235</v>
      </c>
      <c r="F2" s="26">
        <f>IF(B2="","",C2-D2)</f>
        <v/>
      </c>
      <c r="G2" s="25">
        <f>IF(B2="","",IF(F2&lt;=0,"✅ PAID",IF(D2&gt;0,"🟡 PARTIAL","🔴 LATE")))</f>
        <v/>
      </c>
    </row>
    <row r="3">
      <c r="A3" s="27" t="n">
        <v>46235</v>
      </c>
      <c r="B3" s="25" t="inlineStr">
        <is>
          <t>Unit 2A — Maple St.</t>
        </is>
      </c>
      <c r="C3" s="26" t="n">
        <v>12000</v>
      </c>
      <c r="D3" s="26" t="n">
        <v>6000</v>
      </c>
      <c r="E3" s="27" t="n"/>
      <c r="F3" s="26">
        <f>IF(B3="","",C3-D3)</f>
        <v/>
      </c>
      <c r="G3" s="25">
        <f>IF(B3="","",IF(F3&lt;=0,"✅ PAID",IF(D3&gt;0,"🟡 PARTIAL","🔴 LATE")))</f>
        <v/>
      </c>
    </row>
    <row r="4">
      <c r="A4" s="27" t="n">
        <v>46204</v>
      </c>
      <c r="B4" s="25" t="inlineStr">
        <is>
          <t>Unit 5B — Maple St.</t>
        </is>
      </c>
      <c r="C4" s="26" t="n">
        <v>9500</v>
      </c>
      <c r="D4" s="26" t="n">
        <v>9500</v>
      </c>
      <c r="E4" s="27" t="n"/>
      <c r="F4" s="26">
        <f>IF(B4="","",C4-D4)</f>
        <v/>
      </c>
      <c r="G4" s="25">
        <f>IF(B4="","",IF(F4&lt;=0,"✅ PAID",IF(D4&gt;0,"🟡 PARTIAL","🔴 LATE")))</f>
        <v/>
      </c>
    </row>
    <row r="5">
      <c r="A5" s="27" t="n"/>
      <c r="B5" s="25" t="n"/>
      <c r="C5" s="26" t="n"/>
      <c r="D5" s="26" t="n"/>
      <c r="E5" s="27" t="n"/>
      <c r="F5" s="26">
        <f>IF(B5="","",C5-D5)</f>
        <v/>
      </c>
      <c r="G5" s="25">
        <f>IF(B5="","",IF(F5&lt;=0,"✅ PAID",IF(D5&gt;0,"🟡 PARTIAL","🔴 LATE")))</f>
        <v/>
      </c>
    </row>
    <row r="6">
      <c r="A6" s="27" t="n"/>
      <c r="B6" s="25" t="n"/>
      <c r="C6" s="26" t="n"/>
      <c r="D6" s="26" t="n"/>
      <c r="E6" s="27" t="n"/>
      <c r="F6" s="26">
        <f>IF(B6="","",C6-D6)</f>
        <v/>
      </c>
      <c r="G6" s="25">
        <f>IF(B6="","",IF(F6&lt;=0,"✅ PAID",IF(D6&gt;0,"🟡 PARTIAL","🔴 LATE")))</f>
        <v/>
      </c>
    </row>
    <row r="7">
      <c r="A7" s="27" t="n"/>
      <c r="B7" s="25" t="n"/>
      <c r="C7" s="26" t="n"/>
      <c r="D7" s="26" t="n"/>
      <c r="E7" s="27" t="n"/>
      <c r="F7" s="26">
        <f>IF(B7="","",C7-D7)</f>
        <v/>
      </c>
      <c r="G7" s="25">
        <f>IF(B7="","",IF(F7&lt;=0,"✅ PAID",IF(D7&gt;0,"🟡 PARTIAL","🔴 LATE")))</f>
        <v/>
      </c>
    </row>
    <row r="8">
      <c r="A8" s="27" t="n"/>
      <c r="B8" s="25" t="n"/>
      <c r="C8" s="26" t="n"/>
      <c r="D8" s="26" t="n"/>
      <c r="E8" s="27" t="n"/>
      <c r="F8" s="26">
        <f>IF(B8="","",C8-D8)</f>
        <v/>
      </c>
      <c r="G8" s="25">
        <f>IF(B8="","",IF(F8&lt;=0,"✅ PAID",IF(D8&gt;0,"🟡 PARTIAL","🔴 LATE")))</f>
        <v/>
      </c>
    </row>
    <row r="9">
      <c r="A9" s="27" t="n"/>
      <c r="B9" s="25" t="n"/>
      <c r="C9" s="26" t="n"/>
      <c r="D9" s="26" t="n"/>
      <c r="E9" s="27" t="n"/>
      <c r="F9" s="26">
        <f>IF(B9="","",C9-D9)</f>
        <v/>
      </c>
      <c r="G9" s="25">
        <f>IF(B9="","",IF(F9&lt;=0,"✅ PAID",IF(D9&gt;0,"🟡 PARTIAL","🔴 LATE")))</f>
        <v/>
      </c>
    </row>
    <row r="10">
      <c r="A10" s="27" t="n"/>
      <c r="B10" s="25" t="n"/>
      <c r="C10" s="26" t="n"/>
      <c r="D10" s="26" t="n"/>
      <c r="E10" s="27" t="n"/>
      <c r="F10" s="26">
        <f>IF(B10="","",C10-D10)</f>
        <v/>
      </c>
      <c r="G10" s="25">
        <f>IF(B10="","",IF(F10&lt;=0,"✅ PAID",IF(D10&gt;0,"🟡 PARTIAL","🔴 LATE")))</f>
        <v/>
      </c>
    </row>
    <row r="11">
      <c r="A11" s="27" t="n"/>
      <c r="B11" s="25" t="n"/>
      <c r="C11" s="26" t="n"/>
      <c r="D11" s="26" t="n"/>
      <c r="E11" s="27" t="n"/>
      <c r="F11" s="26">
        <f>IF(B11="","",C11-D11)</f>
        <v/>
      </c>
      <c r="G11" s="25">
        <f>IF(B11="","",IF(F11&lt;=0,"✅ PAID",IF(D11&gt;0,"🟡 PARTIAL","🔴 LATE")))</f>
        <v/>
      </c>
    </row>
    <row r="12">
      <c r="A12" s="27" t="n"/>
      <c r="B12" s="25" t="n"/>
      <c r="C12" s="26" t="n"/>
      <c r="D12" s="26" t="n"/>
      <c r="E12" s="27" t="n"/>
      <c r="F12" s="26">
        <f>IF(B12="","",C12-D12)</f>
        <v/>
      </c>
      <c r="G12" s="25">
        <f>IF(B12="","",IF(F12&lt;=0,"✅ PAID",IF(D12&gt;0,"🟡 PARTIAL","🔴 LATE")))</f>
        <v/>
      </c>
    </row>
    <row r="13">
      <c r="A13" s="27" t="n"/>
      <c r="B13" s="25" t="n"/>
      <c r="C13" s="26" t="n"/>
      <c r="D13" s="26" t="n"/>
      <c r="E13" s="27" t="n"/>
      <c r="F13" s="26">
        <f>IF(B13="","",C13-D13)</f>
        <v/>
      </c>
      <c r="G13" s="25">
        <f>IF(B13="","",IF(F13&lt;=0,"✅ PAID",IF(D13&gt;0,"🟡 PARTIAL","🔴 LATE")))</f>
        <v/>
      </c>
    </row>
    <row r="14">
      <c r="A14" s="27" t="n"/>
      <c r="B14" s="25" t="n"/>
      <c r="C14" s="26" t="n"/>
      <c r="D14" s="26" t="n"/>
      <c r="E14" s="27" t="n"/>
      <c r="F14" s="26">
        <f>IF(B14="","",C14-D14)</f>
        <v/>
      </c>
      <c r="G14" s="25">
        <f>IF(B14="","",IF(F14&lt;=0,"✅ PAID",IF(D14&gt;0,"🟡 PARTIAL","🔴 LATE")))</f>
        <v/>
      </c>
    </row>
    <row r="15">
      <c r="A15" s="27" t="n"/>
      <c r="B15" s="25" t="n"/>
      <c r="C15" s="26" t="n"/>
      <c r="D15" s="26" t="n"/>
      <c r="E15" s="27" t="n"/>
      <c r="F15" s="26">
        <f>IF(B15="","",C15-D15)</f>
        <v/>
      </c>
      <c r="G15" s="25">
        <f>IF(B15="","",IF(F15&lt;=0,"✅ PAID",IF(D15&gt;0,"🟡 PARTIAL","🔴 LATE")))</f>
        <v/>
      </c>
    </row>
    <row r="16">
      <c r="A16" s="27" t="n"/>
      <c r="B16" s="25" t="n"/>
      <c r="C16" s="26" t="n"/>
      <c r="D16" s="26" t="n"/>
      <c r="E16" s="27" t="n"/>
      <c r="F16" s="26">
        <f>IF(B16="","",C16-D16)</f>
        <v/>
      </c>
      <c r="G16" s="25">
        <f>IF(B16="","",IF(F16&lt;=0,"✅ PAID",IF(D16&gt;0,"🟡 PARTIAL","🔴 LATE")))</f>
        <v/>
      </c>
    </row>
    <row r="17">
      <c r="A17" s="27" t="n"/>
      <c r="B17" s="25" t="n"/>
      <c r="C17" s="26" t="n"/>
      <c r="D17" s="26" t="n"/>
      <c r="E17" s="27" t="n"/>
      <c r="F17" s="26">
        <f>IF(B17="","",C17-D17)</f>
        <v/>
      </c>
      <c r="G17" s="25">
        <f>IF(B17="","",IF(F17&lt;=0,"✅ PAID",IF(D17&gt;0,"🟡 PARTIAL","🔴 LATE")))</f>
        <v/>
      </c>
    </row>
    <row r="18">
      <c r="A18" s="27" t="n"/>
      <c r="B18" s="25" t="n"/>
      <c r="C18" s="26" t="n"/>
      <c r="D18" s="26" t="n"/>
      <c r="E18" s="27" t="n"/>
      <c r="F18" s="26">
        <f>IF(B18="","",C18-D18)</f>
        <v/>
      </c>
      <c r="G18" s="25">
        <f>IF(B18="","",IF(F18&lt;=0,"✅ PAID",IF(D18&gt;0,"🟡 PARTIAL","🔴 LATE")))</f>
        <v/>
      </c>
    </row>
    <row r="19">
      <c r="A19" s="27" t="n"/>
      <c r="B19" s="25" t="n"/>
      <c r="C19" s="26" t="n"/>
      <c r="D19" s="26" t="n"/>
      <c r="E19" s="27" t="n"/>
      <c r="F19" s="26">
        <f>IF(B19="","",C19-D19)</f>
        <v/>
      </c>
      <c r="G19" s="25">
        <f>IF(B19="","",IF(F19&lt;=0,"✅ PAID",IF(D19&gt;0,"🟡 PARTIAL","🔴 LATE")))</f>
        <v/>
      </c>
    </row>
    <row r="20">
      <c r="A20" s="27" t="n"/>
      <c r="B20" s="25" t="n"/>
      <c r="C20" s="26" t="n"/>
      <c r="D20" s="26" t="n"/>
      <c r="E20" s="27" t="n"/>
      <c r="F20" s="26">
        <f>IF(B20="","",C20-D20)</f>
        <v/>
      </c>
      <c r="G20" s="25">
        <f>IF(B20="","",IF(F20&lt;=0,"✅ PAID",IF(D20&gt;0,"🟡 PARTIAL","🔴 LATE")))</f>
        <v/>
      </c>
    </row>
    <row r="21">
      <c r="A21" s="27" t="n"/>
      <c r="B21" s="25" t="n"/>
      <c r="C21" s="26" t="n"/>
      <c r="D21" s="26" t="n"/>
      <c r="E21" s="27" t="n"/>
      <c r="F21" s="26">
        <f>IF(B21="","",C21-D21)</f>
        <v/>
      </c>
      <c r="G21" s="25">
        <f>IF(B21="","",IF(F21&lt;=0,"✅ PAID",IF(D21&gt;0,"🟡 PARTIAL","🔴 LATE")))</f>
        <v/>
      </c>
    </row>
    <row r="22">
      <c r="A22" s="27" t="n"/>
      <c r="B22" s="25" t="n"/>
      <c r="C22" s="26" t="n"/>
      <c r="D22" s="26" t="n"/>
      <c r="E22" s="27" t="n"/>
      <c r="F22" s="26">
        <f>IF(B22="","",C22-D22)</f>
        <v/>
      </c>
      <c r="G22" s="25">
        <f>IF(B22="","",IF(F22&lt;=0,"✅ PAID",IF(D22&gt;0,"🟡 PARTIAL","🔴 LATE")))</f>
        <v/>
      </c>
    </row>
    <row r="23">
      <c r="A23" s="27" t="n"/>
      <c r="B23" s="25" t="n"/>
      <c r="C23" s="26" t="n"/>
      <c r="D23" s="26" t="n"/>
      <c r="E23" s="27" t="n"/>
      <c r="F23" s="26">
        <f>IF(B23="","",C23-D23)</f>
        <v/>
      </c>
      <c r="G23" s="25">
        <f>IF(B23="","",IF(F23&lt;=0,"✅ PAID",IF(D23&gt;0,"🟡 PARTIAL","🔴 LATE")))</f>
        <v/>
      </c>
    </row>
    <row r="24">
      <c r="A24" s="27" t="n"/>
      <c r="B24" s="25" t="n"/>
      <c r="C24" s="26" t="n"/>
      <c r="D24" s="26" t="n"/>
      <c r="E24" s="27" t="n"/>
      <c r="F24" s="26">
        <f>IF(B24="","",C24-D24)</f>
        <v/>
      </c>
      <c r="G24" s="25">
        <f>IF(B24="","",IF(F24&lt;=0,"✅ PAID",IF(D24&gt;0,"🟡 PARTIAL","🔴 LATE")))</f>
        <v/>
      </c>
    </row>
    <row r="25">
      <c r="A25" s="27" t="n"/>
      <c r="B25" s="25" t="n"/>
      <c r="C25" s="26" t="n"/>
      <c r="D25" s="26" t="n"/>
      <c r="E25" s="27" t="n"/>
      <c r="F25" s="26">
        <f>IF(B25="","",C25-D25)</f>
        <v/>
      </c>
      <c r="G25" s="25">
        <f>IF(B25="","",IF(F25&lt;=0,"✅ PAID",IF(D25&gt;0,"🟡 PARTIAL","🔴 LATE")))</f>
        <v/>
      </c>
    </row>
    <row r="26">
      <c r="A26" s="27" t="n"/>
      <c r="B26" s="25" t="n"/>
      <c r="C26" s="26" t="n"/>
      <c r="D26" s="26" t="n"/>
      <c r="E26" s="27" t="n"/>
      <c r="F26" s="26">
        <f>IF(B26="","",C26-D26)</f>
        <v/>
      </c>
      <c r="G26" s="25">
        <f>IF(B26="","",IF(F26&lt;=0,"✅ PAID",IF(D26&gt;0,"🟡 PARTIAL","🔴 LATE")))</f>
        <v/>
      </c>
    </row>
    <row r="27">
      <c r="A27" s="27" t="n"/>
      <c r="B27" s="25" t="n"/>
      <c r="C27" s="26" t="n"/>
      <c r="D27" s="26" t="n"/>
      <c r="E27" s="27" t="n"/>
      <c r="F27" s="26">
        <f>IF(B27="","",C27-D27)</f>
        <v/>
      </c>
      <c r="G27" s="25">
        <f>IF(B27="","",IF(F27&lt;=0,"✅ PAID",IF(D27&gt;0,"🟡 PARTIAL","🔴 LATE")))</f>
        <v/>
      </c>
    </row>
    <row r="28">
      <c r="A28" s="27" t="n"/>
      <c r="B28" s="25" t="n"/>
      <c r="C28" s="26" t="n"/>
      <c r="D28" s="26" t="n"/>
      <c r="E28" s="27" t="n"/>
      <c r="F28" s="26">
        <f>IF(B28="","",C28-D28)</f>
        <v/>
      </c>
      <c r="G28" s="25">
        <f>IF(B28="","",IF(F28&lt;=0,"✅ PAID",IF(D28&gt;0,"🟡 PARTIAL","🔴 LATE")))</f>
        <v/>
      </c>
    </row>
    <row r="29">
      <c r="A29" s="27" t="n"/>
      <c r="B29" s="25" t="n"/>
      <c r="C29" s="26" t="n"/>
      <c r="D29" s="26" t="n"/>
      <c r="E29" s="27" t="n"/>
      <c r="F29" s="26">
        <f>IF(B29="","",C29-D29)</f>
        <v/>
      </c>
      <c r="G29" s="25">
        <f>IF(B29="","",IF(F29&lt;=0,"✅ PAID",IF(D29&gt;0,"🟡 PARTIAL","🔴 LATE")))</f>
        <v/>
      </c>
    </row>
    <row r="30">
      <c r="A30" s="27" t="n"/>
      <c r="B30" s="25" t="n"/>
      <c r="C30" s="26" t="n"/>
      <c r="D30" s="26" t="n"/>
      <c r="E30" s="27" t="n"/>
      <c r="F30" s="26">
        <f>IF(B30="","",C30-D30)</f>
        <v/>
      </c>
      <c r="G30" s="25">
        <f>IF(B30="","",IF(F30&lt;=0,"✅ PAID",IF(D30&gt;0,"🟡 PARTIAL","🔴 LATE")))</f>
        <v/>
      </c>
    </row>
    <row r="31">
      <c r="A31" s="27" t="n"/>
      <c r="B31" s="25" t="n"/>
      <c r="C31" s="26" t="n"/>
      <c r="D31" s="26" t="n"/>
      <c r="E31" s="27" t="n"/>
      <c r="F31" s="26">
        <f>IF(B31="","",C31-D31)</f>
        <v/>
      </c>
      <c r="G31" s="25">
        <f>IF(B31="","",IF(F31&lt;=0,"✅ PAID",IF(D31&gt;0,"🟡 PARTIAL","🔴 LATE")))</f>
        <v/>
      </c>
    </row>
    <row r="32">
      <c r="A32" s="27" t="n"/>
      <c r="B32" s="25" t="n"/>
      <c r="C32" s="26" t="n"/>
      <c r="D32" s="26" t="n"/>
      <c r="E32" s="27" t="n"/>
      <c r="F32" s="26">
        <f>IF(B32="","",C32-D32)</f>
        <v/>
      </c>
      <c r="G32" s="25">
        <f>IF(B32="","",IF(F32&lt;=0,"✅ PAID",IF(D32&gt;0,"🟡 PARTIAL","🔴 LATE")))</f>
        <v/>
      </c>
    </row>
    <row r="33">
      <c r="A33" s="27" t="n"/>
      <c r="B33" s="25" t="n"/>
      <c r="C33" s="26" t="n"/>
      <c r="D33" s="26" t="n"/>
      <c r="E33" s="27" t="n"/>
      <c r="F33" s="26">
        <f>IF(B33="","",C33-D33)</f>
        <v/>
      </c>
      <c r="G33" s="25">
        <f>IF(B33="","",IF(F33&lt;=0,"✅ PAID",IF(D33&gt;0,"🟡 PARTIAL","🔴 LATE")))</f>
        <v/>
      </c>
    </row>
    <row r="34">
      <c r="A34" s="27" t="n"/>
      <c r="B34" s="25" t="n"/>
      <c r="C34" s="26" t="n"/>
      <c r="D34" s="26" t="n"/>
      <c r="E34" s="27" t="n"/>
      <c r="F34" s="26">
        <f>IF(B34="","",C34-D34)</f>
        <v/>
      </c>
      <c r="G34" s="25">
        <f>IF(B34="","",IF(F34&lt;=0,"✅ PAID",IF(D34&gt;0,"🟡 PARTIAL","🔴 LATE")))</f>
        <v/>
      </c>
    </row>
    <row r="35">
      <c r="A35" s="27" t="n"/>
      <c r="B35" s="25" t="n"/>
      <c r="C35" s="26" t="n"/>
      <c r="D35" s="26" t="n"/>
      <c r="E35" s="27" t="n"/>
      <c r="F35" s="26">
        <f>IF(B35="","",C35-D35)</f>
        <v/>
      </c>
      <c r="G35" s="25">
        <f>IF(B35="","",IF(F35&lt;=0,"✅ PAID",IF(D35&gt;0,"🟡 PARTIAL","🔴 LATE")))</f>
        <v/>
      </c>
    </row>
    <row r="36">
      <c r="A36" s="27" t="n"/>
      <c r="B36" s="25" t="n"/>
      <c r="C36" s="26" t="n"/>
      <c r="D36" s="26" t="n"/>
      <c r="E36" s="27" t="n"/>
      <c r="F36" s="26">
        <f>IF(B36="","",C36-D36)</f>
        <v/>
      </c>
      <c r="G36" s="25">
        <f>IF(B36="","",IF(F36&lt;=0,"✅ PAID",IF(D36&gt;0,"🟡 PARTIAL","🔴 LATE")))</f>
        <v/>
      </c>
    </row>
    <row r="37">
      <c r="A37" s="27" t="n"/>
      <c r="B37" s="25" t="n"/>
      <c r="C37" s="26" t="n"/>
      <c r="D37" s="26" t="n"/>
      <c r="E37" s="27" t="n"/>
      <c r="F37" s="26">
        <f>IF(B37="","",C37-D37)</f>
        <v/>
      </c>
      <c r="G37" s="25">
        <f>IF(B37="","",IF(F37&lt;=0,"✅ PAID",IF(D37&gt;0,"🟡 PARTIAL","🔴 LATE")))</f>
        <v/>
      </c>
    </row>
    <row r="38">
      <c r="A38" s="27" t="n"/>
      <c r="B38" s="25" t="n"/>
      <c r="C38" s="26" t="n"/>
      <c r="D38" s="26" t="n"/>
      <c r="E38" s="27" t="n"/>
      <c r="F38" s="26">
        <f>IF(B38="","",C38-D38)</f>
        <v/>
      </c>
      <c r="G38" s="25">
        <f>IF(B38="","",IF(F38&lt;=0,"✅ PAID",IF(D38&gt;0,"🟡 PARTIAL","🔴 LATE")))</f>
        <v/>
      </c>
    </row>
    <row r="39">
      <c r="A39" s="27" t="n"/>
      <c r="B39" s="25" t="n"/>
      <c r="C39" s="26" t="n"/>
      <c r="D39" s="26" t="n"/>
      <c r="E39" s="27" t="n"/>
      <c r="F39" s="26">
        <f>IF(B39="","",C39-D39)</f>
        <v/>
      </c>
      <c r="G39" s="25">
        <f>IF(B39="","",IF(F39&lt;=0,"✅ PAID",IF(D39&gt;0,"🟡 PARTIAL","🔴 LATE")))</f>
        <v/>
      </c>
    </row>
    <row r="40">
      <c r="A40" s="27" t="n"/>
      <c r="B40" s="25" t="n"/>
      <c r="C40" s="26" t="n"/>
      <c r="D40" s="26" t="n"/>
      <c r="E40" s="27" t="n"/>
      <c r="F40" s="26">
        <f>IF(B40="","",C40-D40)</f>
        <v/>
      </c>
      <c r="G40" s="25">
        <f>IF(B40="","",IF(F40&lt;=0,"✅ PAID",IF(D40&gt;0,"🟡 PARTIAL","🔴 LATE")))</f>
        <v/>
      </c>
    </row>
    <row r="41">
      <c r="A41" s="27" t="n"/>
      <c r="B41" s="25" t="n"/>
      <c r="C41" s="26" t="n"/>
      <c r="D41" s="26" t="n"/>
      <c r="E41" s="27" t="n"/>
      <c r="F41" s="26">
        <f>IF(B41="","",C41-D41)</f>
        <v/>
      </c>
      <c r="G41" s="25">
        <f>IF(B41="","",IF(F41&lt;=0,"✅ PAID",IF(D41&gt;0,"🟡 PARTIAL","🔴 LATE")))</f>
        <v/>
      </c>
    </row>
    <row r="42">
      <c r="A42" s="27" t="n"/>
      <c r="B42" s="25" t="n"/>
      <c r="C42" s="26" t="n"/>
      <c r="D42" s="26" t="n"/>
      <c r="E42" s="27" t="n"/>
      <c r="F42" s="26">
        <f>IF(B42="","",C42-D42)</f>
        <v/>
      </c>
      <c r="G42" s="25">
        <f>IF(B42="","",IF(F42&lt;=0,"✅ PAID",IF(D42&gt;0,"🟡 PARTIAL","🔴 LATE")))</f>
        <v/>
      </c>
    </row>
    <row r="43">
      <c r="A43" s="27" t="n"/>
      <c r="B43" s="25" t="n"/>
      <c r="C43" s="26" t="n"/>
      <c r="D43" s="26" t="n"/>
      <c r="E43" s="27" t="n"/>
      <c r="F43" s="26">
        <f>IF(B43="","",C43-D43)</f>
        <v/>
      </c>
      <c r="G43" s="25">
        <f>IF(B43="","",IF(F43&lt;=0,"✅ PAID",IF(D43&gt;0,"🟡 PARTIAL","🔴 LATE")))</f>
        <v/>
      </c>
    </row>
    <row r="44">
      <c r="A44" s="27" t="n"/>
      <c r="B44" s="25" t="n"/>
      <c r="C44" s="26" t="n"/>
      <c r="D44" s="26" t="n"/>
      <c r="E44" s="27" t="n"/>
      <c r="F44" s="26">
        <f>IF(B44="","",C44-D44)</f>
        <v/>
      </c>
      <c r="G44" s="25">
        <f>IF(B44="","",IF(F44&lt;=0,"✅ PAID",IF(D44&gt;0,"🟡 PARTIAL","🔴 LATE")))</f>
        <v/>
      </c>
    </row>
    <row r="45">
      <c r="A45" s="27" t="n"/>
      <c r="B45" s="25" t="n"/>
      <c r="C45" s="26" t="n"/>
      <c r="D45" s="26" t="n"/>
      <c r="E45" s="27" t="n"/>
      <c r="F45" s="26">
        <f>IF(B45="","",C45-D45)</f>
        <v/>
      </c>
      <c r="G45" s="25">
        <f>IF(B45="","",IF(F45&lt;=0,"✅ PAID",IF(D45&gt;0,"🟡 PARTIAL","🔴 LATE")))</f>
        <v/>
      </c>
    </row>
    <row r="46">
      <c r="A46" s="27" t="n"/>
      <c r="B46" s="25" t="n"/>
      <c r="C46" s="26" t="n"/>
      <c r="D46" s="26" t="n"/>
      <c r="E46" s="27" t="n"/>
      <c r="F46" s="26">
        <f>IF(B46="","",C46-D46)</f>
        <v/>
      </c>
      <c r="G46" s="25">
        <f>IF(B46="","",IF(F46&lt;=0,"✅ PAID",IF(D46&gt;0,"🟡 PARTIAL","🔴 LATE")))</f>
        <v/>
      </c>
    </row>
    <row r="47">
      <c r="A47" s="27" t="n"/>
      <c r="B47" s="25" t="n"/>
      <c r="C47" s="26" t="n"/>
      <c r="D47" s="26" t="n"/>
      <c r="E47" s="27" t="n"/>
      <c r="F47" s="26">
        <f>IF(B47="","",C47-D47)</f>
        <v/>
      </c>
      <c r="G47" s="25">
        <f>IF(B47="","",IF(F47&lt;=0,"✅ PAID",IF(D47&gt;0,"🟡 PARTIAL","🔴 LATE")))</f>
        <v/>
      </c>
    </row>
    <row r="48">
      <c r="A48" s="27" t="n"/>
      <c r="B48" s="25" t="n"/>
      <c r="C48" s="26" t="n"/>
      <c r="D48" s="26" t="n"/>
      <c r="E48" s="27" t="n"/>
      <c r="F48" s="26">
        <f>IF(B48="","",C48-D48)</f>
        <v/>
      </c>
      <c r="G48" s="25">
        <f>IF(B48="","",IF(F48&lt;=0,"✅ PAID",IF(D48&gt;0,"🟡 PARTIAL","🔴 LATE")))</f>
        <v/>
      </c>
    </row>
    <row r="49">
      <c r="A49" s="27" t="n"/>
      <c r="B49" s="25" t="n"/>
      <c r="C49" s="26" t="n"/>
      <c r="D49" s="26" t="n"/>
      <c r="E49" s="27" t="n"/>
      <c r="F49" s="26">
        <f>IF(B49="","",C49-D49)</f>
        <v/>
      </c>
      <c r="G49" s="25">
        <f>IF(B49="","",IF(F49&lt;=0,"✅ PAID",IF(D49&gt;0,"🟡 PARTIAL","🔴 LATE")))</f>
        <v/>
      </c>
    </row>
    <row r="50">
      <c r="A50" s="27" t="n"/>
      <c r="B50" s="25" t="n"/>
      <c r="C50" s="26" t="n"/>
      <c r="D50" s="26" t="n"/>
      <c r="E50" s="27" t="n"/>
      <c r="F50" s="26">
        <f>IF(B50="","",C50-D50)</f>
        <v/>
      </c>
      <c r="G50" s="25">
        <f>IF(B50="","",IF(F50&lt;=0,"✅ PAID",IF(D50&gt;0,"🟡 PARTIAL","🔴 LATE")))</f>
        <v/>
      </c>
    </row>
    <row r="51">
      <c r="A51" s="27" t="n"/>
      <c r="B51" s="25" t="n"/>
      <c r="C51" s="26" t="n"/>
      <c r="D51" s="26" t="n"/>
      <c r="E51" s="27" t="n"/>
      <c r="F51" s="26">
        <f>IF(B51="","",C51-D51)</f>
        <v/>
      </c>
      <c r="G51" s="25">
        <f>IF(B51="","",IF(F51&lt;=0,"✅ PAID",IF(D51&gt;0,"🟡 PARTIAL","🔴 LATE")))</f>
        <v/>
      </c>
    </row>
    <row r="52">
      <c r="A52" s="27" t="n"/>
      <c r="B52" s="25" t="n"/>
      <c r="C52" s="26" t="n"/>
      <c r="D52" s="26" t="n"/>
      <c r="E52" s="27" t="n"/>
      <c r="F52" s="26">
        <f>IF(B52="","",C52-D52)</f>
        <v/>
      </c>
      <c r="G52" s="25">
        <f>IF(B52="","",IF(F52&lt;=0,"✅ PAID",IF(D52&gt;0,"🟡 PARTIAL","🔴 LATE")))</f>
        <v/>
      </c>
    </row>
    <row r="53">
      <c r="A53" s="27" t="n"/>
      <c r="B53" s="25" t="n"/>
      <c r="C53" s="26" t="n"/>
      <c r="D53" s="26" t="n"/>
      <c r="E53" s="27" t="n"/>
      <c r="F53" s="26">
        <f>IF(B53="","",C53-D53)</f>
        <v/>
      </c>
      <c r="G53" s="25">
        <f>IF(B53="","",IF(F53&lt;=0,"✅ PAID",IF(D53&gt;0,"🟡 PARTIAL","🔴 LATE")))</f>
        <v/>
      </c>
    </row>
    <row r="54">
      <c r="A54" s="27" t="n"/>
      <c r="B54" s="25" t="n"/>
      <c r="C54" s="26" t="n"/>
      <c r="D54" s="26" t="n"/>
      <c r="E54" s="27" t="n"/>
      <c r="F54" s="26">
        <f>IF(B54="","",C54-D54)</f>
        <v/>
      </c>
      <c r="G54" s="25">
        <f>IF(B54="","",IF(F54&lt;=0,"✅ PAID",IF(D54&gt;0,"🟡 PARTIAL","🔴 LATE")))</f>
        <v/>
      </c>
    </row>
    <row r="55">
      <c r="A55" s="27" t="n"/>
      <c r="B55" s="25" t="n"/>
      <c r="C55" s="26" t="n"/>
      <c r="D55" s="26" t="n"/>
      <c r="E55" s="27" t="n"/>
      <c r="F55" s="26">
        <f>IF(B55="","",C55-D55)</f>
        <v/>
      </c>
      <c r="G55" s="25">
        <f>IF(B55="","",IF(F55&lt;=0,"✅ PAID",IF(D55&gt;0,"🟡 PARTIAL","🔴 LATE")))</f>
        <v/>
      </c>
    </row>
    <row r="56">
      <c r="A56" s="27" t="n"/>
      <c r="B56" s="25" t="n"/>
      <c r="C56" s="26" t="n"/>
      <c r="D56" s="26" t="n"/>
      <c r="E56" s="27" t="n"/>
      <c r="F56" s="26">
        <f>IF(B56="","",C56-D56)</f>
        <v/>
      </c>
      <c r="G56" s="25">
        <f>IF(B56="","",IF(F56&lt;=0,"✅ PAID",IF(D56&gt;0,"🟡 PARTIAL","🔴 LATE")))</f>
        <v/>
      </c>
    </row>
    <row r="57">
      <c r="A57" s="27" t="n"/>
      <c r="B57" s="25" t="n"/>
      <c r="C57" s="26" t="n"/>
      <c r="D57" s="26" t="n"/>
      <c r="E57" s="27" t="n"/>
      <c r="F57" s="26">
        <f>IF(B57="","",C57-D57)</f>
        <v/>
      </c>
      <c r="G57" s="25">
        <f>IF(B57="","",IF(F57&lt;=0,"✅ PAID",IF(D57&gt;0,"🟡 PARTIAL","🔴 LATE")))</f>
        <v/>
      </c>
    </row>
    <row r="58">
      <c r="A58" s="27" t="n"/>
      <c r="B58" s="25" t="n"/>
      <c r="C58" s="26" t="n"/>
      <c r="D58" s="26" t="n"/>
      <c r="E58" s="27" t="n"/>
      <c r="F58" s="26">
        <f>IF(B58="","",C58-D58)</f>
        <v/>
      </c>
      <c r="G58" s="25">
        <f>IF(B58="","",IF(F58&lt;=0,"✅ PAID",IF(D58&gt;0,"🟡 PARTIAL","🔴 LATE")))</f>
        <v/>
      </c>
    </row>
    <row r="59">
      <c r="A59" s="27" t="n"/>
      <c r="B59" s="25" t="n"/>
      <c r="C59" s="26" t="n"/>
      <c r="D59" s="26" t="n"/>
      <c r="E59" s="27" t="n"/>
      <c r="F59" s="26">
        <f>IF(B59="","",C59-D59)</f>
        <v/>
      </c>
      <c r="G59" s="25">
        <f>IF(B59="","",IF(F59&lt;=0,"✅ PAID",IF(D59&gt;0,"🟡 PARTIAL","🔴 LATE")))</f>
        <v/>
      </c>
    </row>
    <row r="60">
      <c r="A60" s="27" t="n"/>
      <c r="B60" s="25" t="n"/>
      <c r="C60" s="26" t="n"/>
      <c r="D60" s="26" t="n"/>
      <c r="E60" s="27" t="n"/>
      <c r="F60" s="26">
        <f>IF(B60="","",C60-D60)</f>
        <v/>
      </c>
      <c r="G60" s="25">
        <f>IF(B60="","",IF(F60&lt;=0,"✅ PAID",IF(D60&gt;0,"🟡 PARTIAL","🔴 LATE")))</f>
        <v/>
      </c>
    </row>
    <row r="61">
      <c r="A61" s="27" t="n"/>
      <c r="B61" s="25" t="n"/>
      <c r="C61" s="26" t="n"/>
      <c r="D61" s="26" t="n"/>
      <c r="E61" s="27" t="n"/>
      <c r="F61" s="26">
        <f>IF(B61="","",C61-D61)</f>
        <v/>
      </c>
      <c r="G61" s="25">
        <f>IF(B61="","",IF(F61&lt;=0,"✅ PAID",IF(D61&gt;0,"🟡 PARTIAL","🔴 LATE")))</f>
        <v/>
      </c>
    </row>
    <row r="62">
      <c r="A62" s="27" t="n"/>
      <c r="B62" s="25" t="n"/>
      <c r="C62" s="26" t="n"/>
      <c r="D62" s="26" t="n"/>
      <c r="E62" s="27" t="n"/>
      <c r="F62" s="26">
        <f>IF(B62="","",C62-D62)</f>
        <v/>
      </c>
      <c r="G62" s="25">
        <f>IF(B62="","",IF(F62&lt;=0,"✅ PAID",IF(D62&gt;0,"🟡 PARTIAL","🔴 LATE")))</f>
        <v/>
      </c>
    </row>
    <row r="63">
      <c r="A63" s="27" t="n"/>
      <c r="B63" s="25" t="n"/>
      <c r="C63" s="26" t="n"/>
      <c r="D63" s="26" t="n"/>
      <c r="E63" s="27" t="n"/>
      <c r="F63" s="26">
        <f>IF(B63="","",C63-D63)</f>
        <v/>
      </c>
      <c r="G63" s="25">
        <f>IF(B63="","",IF(F63&lt;=0,"✅ PAID",IF(D63&gt;0,"🟡 PARTIAL","🔴 LATE")))</f>
        <v/>
      </c>
    </row>
    <row r="64">
      <c r="A64" s="27" t="n"/>
      <c r="B64" s="25" t="n"/>
      <c r="C64" s="26" t="n"/>
      <c r="D64" s="26" t="n"/>
      <c r="E64" s="27" t="n"/>
      <c r="F64" s="26">
        <f>IF(B64="","",C64-D64)</f>
        <v/>
      </c>
      <c r="G64" s="25">
        <f>IF(B64="","",IF(F64&lt;=0,"✅ PAID",IF(D64&gt;0,"🟡 PARTIAL","🔴 LATE")))</f>
        <v/>
      </c>
    </row>
    <row r="65">
      <c r="A65" s="27" t="n"/>
      <c r="B65" s="25" t="n"/>
      <c r="C65" s="26" t="n"/>
      <c r="D65" s="26" t="n"/>
      <c r="E65" s="27" t="n"/>
      <c r="F65" s="26">
        <f>IF(B65="","",C65-D65)</f>
        <v/>
      </c>
      <c r="G65" s="25">
        <f>IF(B65="","",IF(F65&lt;=0,"✅ PAID",IF(D65&gt;0,"🟡 PARTIAL","🔴 LATE")))</f>
        <v/>
      </c>
    </row>
    <row r="66">
      <c r="A66" s="27" t="n"/>
      <c r="B66" s="25" t="n"/>
      <c r="C66" s="26" t="n"/>
      <c r="D66" s="26" t="n"/>
      <c r="E66" s="27" t="n"/>
      <c r="F66" s="26">
        <f>IF(B66="","",C66-D66)</f>
        <v/>
      </c>
      <c r="G66" s="25">
        <f>IF(B66="","",IF(F66&lt;=0,"✅ PAID",IF(D66&gt;0,"🟡 PARTIAL","🔴 LATE")))</f>
        <v/>
      </c>
    </row>
    <row r="67">
      <c r="A67" s="27" t="n"/>
      <c r="B67" s="25" t="n"/>
      <c r="C67" s="26" t="n"/>
      <c r="D67" s="26" t="n"/>
      <c r="E67" s="27" t="n"/>
      <c r="F67" s="26">
        <f>IF(B67="","",C67-D67)</f>
        <v/>
      </c>
      <c r="G67" s="25">
        <f>IF(B67="","",IF(F67&lt;=0,"✅ PAID",IF(D67&gt;0,"🟡 PARTIAL","🔴 LATE")))</f>
        <v/>
      </c>
    </row>
    <row r="68">
      <c r="A68" s="27" t="n"/>
      <c r="B68" s="25" t="n"/>
      <c r="C68" s="26" t="n"/>
      <c r="D68" s="26" t="n"/>
      <c r="E68" s="27" t="n"/>
      <c r="F68" s="26">
        <f>IF(B68="","",C68-D68)</f>
        <v/>
      </c>
      <c r="G68" s="25">
        <f>IF(B68="","",IF(F68&lt;=0,"✅ PAID",IF(D68&gt;0,"🟡 PARTIAL","🔴 LATE")))</f>
        <v/>
      </c>
    </row>
    <row r="69">
      <c r="A69" s="27" t="n"/>
      <c r="B69" s="25" t="n"/>
      <c r="C69" s="26" t="n"/>
      <c r="D69" s="26" t="n"/>
      <c r="E69" s="27" t="n"/>
      <c r="F69" s="26">
        <f>IF(B69="","",C69-D69)</f>
        <v/>
      </c>
      <c r="G69" s="25">
        <f>IF(B69="","",IF(F69&lt;=0,"✅ PAID",IF(D69&gt;0,"🟡 PARTIAL","🔴 LATE")))</f>
        <v/>
      </c>
    </row>
    <row r="70">
      <c r="A70" s="27" t="n"/>
      <c r="B70" s="25" t="n"/>
      <c r="C70" s="26" t="n"/>
      <c r="D70" s="26" t="n"/>
      <c r="E70" s="27" t="n"/>
      <c r="F70" s="26">
        <f>IF(B70="","",C70-D70)</f>
        <v/>
      </c>
      <c r="G70" s="25">
        <f>IF(B70="","",IF(F70&lt;=0,"✅ PAID",IF(D70&gt;0,"🟡 PARTIAL","🔴 LATE")))</f>
        <v/>
      </c>
    </row>
    <row r="71">
      <c r="A71" s="27" t="n"/>
      <c r="B71" s="25" t="n"/>
      <c r="C71" s="26" t="n"/>
      <c r="D71" s="26" t="n"/>
      <c r="E71" s="27" t="n"/>
      <c r="F71" s="26">
        <f>IF(B71="","",C71-D71)</f>
        <v/>
      </c>
      <c r="G71" s="25">
        <f>IF(B71="","",IF(F71&lt;=0,"✅ PAID",IF(D71&gt;0,"🟡 PARTIAL","🔴 LATE")))</f>
        <v/>
      </c>
    </row>
    <row r="72">
      <c r="A72" s="27" t="n"/>
      <c r="B72" s="25" t="n"/>
      <c r="C72" s="26" t="n"/>
      <c r="D72" s="26" t="n"/>
      <c r="E72" s="27" t="n"/>
      <c r="F72" s="26">
        <f>IF(B72="","",C72-D72)</f>
        <v/>
      </c>
      <c r="G72" s="25">
        <f>IF(B72="","",IF(F72&lt;=0,"✅ PAID",IF(D72&gt;0,"🟡 PARTIAL","🔴 LATE")))</f>
        <v/>
      </c>
    </row>
    <row r="73">
      <c r="A73" s="27" t="n"/>
      <c r="B73" s="25" t="n"/>
      <c r="C73" s="26" t="n"/>
      <c r="D73" s="26" t="n"/>
      <c r="E73" s="27" t="n"/>
      <c r="F73" s="26">
        <f>IF(B73="","",C73-D73)</f>
        <v/>
      </c>
      <c r="G73" s="25">
        <f>IF(B73="","",IF(F73&lt;=0,"✅ PAID",IF(D73&gt;0,"🟡 PARTIAL","🔴 LATE")))</f>
        <v/>
      </c>
    </row>
    <row r="74">
      <c r="A74" s="27" t="n"/>
      <c r="B74" s="25" t="n"/>
      <c r="C74" s="26" t="n"/>
      <c r="D74" s="26" t="n"/>
      <c r="E74" s="27" t="n"/>
      <c r="F74" s="26">
        <f>IF(B74="","",C74-D74)</f>
        <v/>
      </c>
      <c r="G74" s="25">
        <f>IF(B74="","",IF(F74&lt;=0,"✅ PAID",IF(D74&gt;0,"🟡 PARTIAL","🔴 LATE")))</f>
        <v/>
      </c>
    </row>
    <row r="75">
      <c r="A75" s="27" t="n"/>
      <c r="B75" s="25" t="n"/>
      <c r="C75" s="26" t="n"/>
      <c r="D75" s="26" t="n"/>
      <c r="E75" s="27" t="n"/>
      <c r="F75" s="26">
        <f>IF(B75="","",C75-D75)</f>
        <v/>
      </c>
      <c r="G75" s="25">
        <f>IF(B75="","",IF(F75&lt;=0,"✅ PAID",IF(D75&gt;0,"🟡 PARTIAL","🔴 LATE")))</f>
        <v/>
      </c>
    </row>
    <row r="76">
      <c r="A76" s="27" t="n"/>
      <c r="B76" s="25" t="n"/>
      <c r="C76" s="26" t="n"/>
      <c r="D76" s="26" t="n"/>
      <c r="E76" s="27" t="n"/>
      <c r="F76" s="26">
        <f>IF(B76="","",C76-D76)</f>
        <v/>
      </c>
      <c r="G76" s="25">
        <f>IF(B76="","",IF(F76&lt;=0,"✅ PAID",IF(D76&gt;0,"🟡 PARTIAL","🔴 LATE")))</f>
        <v/>
      </c>
    </row>
    <row r="77">
      <c r="A77" s="27" t="n"/>
      <c r="B77" s="25" t="n"/>
      <c r="C77" s="26" t="n"/>
      <c r="D77" s="26" t="n"/>
      <c r="E77" s="27" t="n"/>
      <c r="F77" s="26">
        <f>IF(B77="","",C77-D77)</f>
        <v/>
      </c>
      <c r="G77" s="25">
        <f>IF(B77="","",IF(F77&lt;=0,"✅ PAID",IF(D77&gt;0,"🟡 PARTIAL","🔴 LATE")))</f>
        <v/>
      </c>
    </row>
    <row r="78">
      <c r="A78" s="27" t="n"/>
      <c r="B78" s="25" t="n"/>
      <c r="C78" s="26" t="n"/>
      <c r="D78" s="26" t="n"/>
      <c r="E78" s="27" t="n"/>
      <c r="F78" s="26">
        <f>IF(B78="","",C78-D78)</f>
        <v/>
      </c>
      <c r="G78" s="25">
        <f>IF(B78="","",IF(F78&lt;=0,"✅ PAID",IF(D78&gt;0,"🟡 PARTIAL","🔴 LATE")))</f>
        <v/>
      </c>
    </row>
    <row r="79">
      <c r="A79" s="27" t="n"/>
      <c r="B79" s="25" t="n"/>
      <c r="C79" s="26" t="n"/>
      <c r="D79" s="26" t="n"/>
      <c r="E79" s="27" t="n"/>
      <c r="F79" s="26">
        <f>IF(B79="","",C79-D79)</f>
        <v/>
      </c>
      <c r="G79" s="25">
        <f>IF(B79="","",IF(F79&lt;=0,"✅ PAID",IF(D79&gt;0,"🟡 PARTIAL","🔴 LATE")))</f>
        <v/>
      </c>
    </row>
    <row r="80">
      <c r="A80" s="27" t="n"/>
      <c r="B80" s="25" t="n"/>
      <c r="C80" s="26" t="n"/>
      <c r="D80" s="26" t="n"/>
      <c r="E80" s="27" t="n"/>
      <c r="F80" s="26">
        <f>IF(B80="","",C80-D80)</f>
        <v/>
      </c>
      <c r="G80" s="25">
        <f>IF(B80="","",IF(F80&lt;=0,"✅ PAID",IF(D80&gt;0,"🟡 PARTIAL","🔴 LATE")))</f>
        <v/>
      </c>
    </row>
    <row r="81">
      <c r="A81" s="27" t="n"/>
      <c r="B81" s="25" t="n"/>
      <c r="C81" s="26" t="n"/>
      <c r="D81" s="26" t="n"/>
      <c r="E81" s="27" t="n"/>
      <c r="F81" s="26">
        <f>IF(B81="","",C81-D81)</f>
        <v/>
      </c>
      <c r="G81" s="25">
        <f>IF(B81="","",IF(F81&lt;=0,"✅ PAID",IF(D81&gt;0,"🟡 PARTIAL","🔴 LATE")))</f>
        <v/>
      </c>
    </row>
    <row r="82">
      <c r="A82" s="27" t="n"/>
      <c r="B82" s="25" t="n"/>
      <c r="C82" s="26" t="n"/>
      <c r="D82" s="26" t="n"/>
      <c r="E82" s="27" t="n"/>
      <c r="F82" s="26">
        <f>IF(B82="","",C82-D82)</f>
        <v/>
      </c>
      <c r="G82" s="25">
        <f>IF(B82="","",IF(F82&lt;=0,"✅ PAID",IF(D82&gt;0,"🟡 PARTIAL","🔴 LATE")))</f>
        <v/>
      </c>
    </row>
    <row r="83">
      <c r="A83" s="27" t="n"/>
      <c r="B83" s="25" t="n"/>
      <c r="C83" s="26" t="n"/>
      <c r="D83" s="26" t="n"/>
      <c r="E83" s="27" t="n"/>
      <c r="F83" s="26">
        <f>IF(B83="","",C83-D83)</f>
        <v/>
      </c>
      <c r="G83" s="25">
        <f>IF(B83="","",IF(F83&lt;=0,"✅ PAID",IF(D83&gt;0,"🟡 PARTIAL","🔴 LATE")))</f>
        <v/>
      </c>
    </row>
    <row r="84">
      <c r="A84" s="27" t="n"/>
      <c r="B84" s="25" t="n"/>
      <c r="C84" s="26" t="n"/>
      <c r="D84" s="26" t="n"/>
      <c r="E84" s="27" t="n"/>
      <c r="F84" s="26">
        <f>IF(B84="","",C84-D84)</f>
        <v/>
      </c>
      <c r="G84" s="25">
        <f>IF(B84="","",IF(F84&lt;=0,"✅ PAID",IF(D84&gt;0,"🟡 PARTIAL","🔴 LATE")))</f>
        <v/>
      </c>
    </row>
    <row r="85">
      <c r="A85" s="27" t="n"/>
      <c r="B85" s="25" t="n"/>
      <c r="C85" s="26" t="n"/>
      <c r="D85" s="26" t="n"/>
      <c r="E85" s="27" t="n"/>
      <c r="F85" s="26">
        <f>IF(B85="","",C85-D85)</f>
        <v/>
      </c>
      <c r="G85" s="25">
        <f>IF(B85="","",IF(F85&lt;=0,"✅ PAID",IF(D85&gt;0,"🟡 PARTIAL","🔴 LATE")))</f>
        <v/>
      </c>
    </row>
    <row r="86">
      <c r="A86" s="27" t="n"/>
      <c r="B86" s="25" t="n"/>
      <c r="C86" s="26" t="n"/>
      <c r="D86" s="26" t="n"/>
      <c r="E86" s="27" t="n"/>
      <c r="F86" s="26">
        <f>IF(B86="","",C86-D86)</f>
        <v/>
      </c>
      <c r="G86" s="25">
        <f>IF(B86="","",IF(F86&lt;=0,"✅ PAID",IF(D86&gt;0,"🟡 PARTIAL","🔴 LATE")))</f>
        <v/>
      </c>
    </row>
    <row r="87">
      <c r="A87" s="27" t="n"/>
      <c r="B87" s="25" t="n"/>
      <c r="C87" s="26" t="n"/>
      <c r="D87" s="26" t="n"/>
      <c r="E87" s="27" t="n"/>
      <c r="F87" s="26">
        <f>IF(B87="","",C87-D87)</f>
        <v/>
      </c>
      <c r="G87" s="25">
        <f>IF(B87="","",IF(F87&lt;=0,"✅ PAID",IF(D87&gt;0,"🟡 PARTIAL","🔴 LATE")))</f>
        <v/>
      </c>
    </row>
    <row r="88">
      <c r="A88" s="27" t="n"/>
      <c r="B88" s="25" t="n"/>
      <c r="C88" s="26" t="n"/>
      <c r="D88" s="26" t="n"/>
      <c r="E88" s="27" t="n"/>
      <c r="F88" s="26">
        <f>IF(B88="","",C88-D88)</f>
        <v/>
      </c>
      <c r="G88" s="25">
        <f>IF(B88="","",IF(F88&lt;=0,"✅ PAID",IF(D88&gt;0,"🟡 PARTIAL","🔴 LATE")))</f>
        <v/>
      </c>
    </row>
    <row r="89">
      <c r="A89" s="27" t="n"/>
      <c r="B89" s="25" t="n"/>
      <c r="C89" s="26" t="n"/>
      <c r="D89" s="26" t="n"/>
      <c r="E89" s="27" t="n"/>
      <c r="F89" s="26">
        <f>IF(B89="","",C89-D89)</f>
        <v/>
      </c>
      <c r="G89" s="25">
        <f>IF(B89="","",IF(F89&lt;=0,"✅ PAID",IF(D89&gt;0,"🟡 PARTIAL","🔴 LATE")))</f>
        <v/>
      </c>
    </row>
    <row r="90">
      <c r="A90" s="27" t="n"/>
      <c r="B90" s="25" t="n"/>
      <c r="C90" s="26" t="n"/>
      <c r="D90" s="26" t="n"/>
      <c r="E90" s="27" t="n"/>
      <c r="F90" s="26">
        <f>IF(B90="","",C90-D90)</f>
        <v/>
      </c>
      <c r="G90" s="25">
        <f>IF(B90="","",IF(F90&lt;=0,"✅ PAID",IF(D90&gt;0,"🟡 PARTIAL","🔴 LATE")))</f>
        <v/>
      </c>
    </row>
    <row r="91">
      <c r="A91" s="27" t="n"/>
      <c r="B91" s="25" t="n"/>
      <c r="C91" s="26" t="n"/>
      <c r="D91" s="26" t="n"/>
      <c r="E91" s="27" t="n"/>
      <c r="F91" s="26">
        <f>IF(B91="","",C91-D91)</f>
        <v/>
      </c>
      <c r="G91" s="25">
        <f>IF(B91="","",IF(F91&lt;=0,"✅ PAID",IF(D91&gt;0,"🟡 PARTIAL","🔴 LATE")))</f>
        <v/>
      </c>
    </row>
    <row r="92">
      <c r="A92" s="27" t="n"/>
      <c r="B92" s="25" t="n"/>
      <c r="C92" s="26" t="n"/>
      <c r="D92" s="26" t="n"/>
      <c r="E92" s="27" t="n"/>
      <c r="F92" s="26">
        <f>IF(B92="","",C92-D92)</f>
        <v/>
      </c>
      <c r="G92" s="25">
        <f>IF(B92="","",IF(F92&lt;=0,"✅ PAID",IF(D92&gt;0,"🟡 PARTIAL","🔴 LATE")))</f>
        <v/>
      </c>
    </row>
    <row r="93">
      <c r="A93" s="27" t="n"/>
      <c r="B93" s="25" t="n"/>
      <c r="C93" s="26" t="n"/>
      <c r="D93" s="26" t="n"/>
      <c r="E93" s="27" t="n"/>
      <c r="F93" s="26">
        <f>IF(B93="","",C93-D93)</f>
        <v/>
      </c>
      <c r="G93" s="25">
        <f>IF(B93="","",IF(F93&lt;=0,"✅ PAID",IF(D93&gt;0,"🟡 PARTIAL","🔴 LATE")))</f>
        <v/>
      </c>
    </row>
    <row r="94">
      <c r="A94" s="27" t="n"/>
      <c r="B94" s="25" t="n"/>
      <c r="C94" s="26" t="n"/>
      <c r="D94" s="26" t="n"/>
      <c r="E94" s="27" t="n"/>
      <c r="F94" s="26">
        <f>IF(B94="","",C94-D94)</f>
        <v/>
      </c>
      <c r="G94" s="25">
        <f>IF(B94="","",IF(F94&lt;=0,"✅ PAID",IF(D94&gt;0,"🟡 PARTIAL","🔴 LATE")))</f>
        <v/>
      </c>
    </row>
    <row r="95">
      <c r="A95" s="27" t="n"/>
      <c r="B95" s="25" t="n"/>
      <c r="C95" s="26" t="n"/>
      <c r="D95" s="26" t="n"/>
      <c r="E95" s="27" t="n"/>
      <c r="F95" s="26">
        <f>IF(B95="","",C95-D95)</f>
        <v/>
      </c>
      <c r="G95" s="25">
        <f>IF(B95="","",IF(F95&lt;=0,"✅ PAID",IF(D95&gt;0,"🟡 PARTIAL","🔴 LATE")))</f>
        <v/>
      </c>
    </row>
    <row r="96">
      <c r="A96" s="27" t="n"/>
      <c r="B96" s="25" t="n"/>
      <c r="C96" s="26" t="n"/>
      <c r="D96" s="26" t="n"/>
      <c r="E96" s="27" t="n"/>
      <c r="F96" s="26">
        <f>IF(B96="","",C96-D96)</f>
        <v/>
      </c>
      <c r="G96" s="25">
        <f>IF(B96="","",IF(F96&lt;=0,"✅ PAID",IF(D96&gt;0,"🟡 PARTIAL","🔴 LATE")))</f>
        <v/>
      </c>
    </row>
    <row r="97">
      <c r="A97" s="27" t="n"/>
      <c r="B97" s="25" t="n"/>
      <c r="C97" s="26" t="n"/>
      <c r="D97" s="26" t="n"/>
      <c r="E97" s="27" t="n"/>
      <c r="F97" s="26">
        <f>IF(B97="","",C97-D97)</f>
        <v/>
      </c>
      <c r="G97" s="25">
        <f>IF(B97="","",IF(F97&lt;=0,"✅ PAID",IF(D97&gt;0,"🟡 PARTIAL","🔴 LATE")))</f>
        <v/>
      </c>
    </row>
    <row r="98">
      <c r="A98" s="27" t="n"/>
      <c r="B98" s="25" t="n"/>
      <c r="C98" s="26" t="n"/>
      <c r="D98" s="26" t="n"/>
      <c r="E98" s="27" t="n"/>
      <c r="F98" s="26">
        <f>IF(B98="","",C98-D98)</f>
        <v/>
      </c>
      <c r="G98" s="25">
        <f>IF(B98="","",IF(F98&lt;=0,"✅ PAID",IF(D98&gt;0,"🟡 PARTIAL","🔴 LATE")))</f>
        <v/>
      </c>
    </row>
    <row r="99">
      <c r="A99" s="27" t="n"/>
      <c r="B99" s="25" t="n"/>
      <c r="C99" s="26" t="n"/>
      <c r="D99" s="26" t="n"/>
      <c r="E99" s="27" t="n"/>
      <c r="F99" s="26">
        <f>IF(B99="","",C99-D99)</f>
        <v/>
      </c>
      <c r="G99" s="25">
        <f>IF(B99="","",IF(F99&lt;=0,"✅ PAID",IF(D99&gt;0,"🟡 PARTIAL","🔴 LATE")))</f>
        <v/>
      </c>
    </row>
    <row r="100">
      <c r="A100" s="27" t="n"/>
      <c r="B100" s="25" t="n"/>
      <c r="C100" s="26" t="n"/>
      <c r="D100" s="26" t="n"/>
      <c r="E100" s="27" t="n"/>
      <c r="F100" s="26">
        <f>IF(B100="","",C100-D100)</f>
        <v/>
      </c>
      <c r="G100" s="25">
        <f>IF(B100="","",IF(F100&lt;=0,"✅ PAID",IF(D100&gt;0,"🟡 PARTIAL","🔴 LATE")))</f>
        <v/>
      </c>
    </row>
    <row r="101">
      <c r="A101" s="27" t="n"/>
      <c r="B101" s="25" t="n"/>
      <c r="C101" s="26" t="n"/>
      <c r="D101" s="26" t="n"/>
      <c r="E101" s="27" t="n"/>
      <c r="F101" s="26">
        <f>IF(B101="","",C101-D101)</f>
        <v/>
      </c>
      <c r="G101" s="25">
        <f>IF(B101="","",IF(F101&lt;=0,"✅ PAID",IF(D101&gt;0,"🟡 PARTIAL","🔴 LATE")))</f>
        <v/>
      </c>
    </row>
    <row r="102">
      <c r="A102" s="27" t="n"/>
      <c r="B102" s="25" t="n"/>
      <c r="C102" s="26" t="n"/>
      <c r="D102" s="26" t="n"/>
      <c r="E102" s="27" t="n"/>
      <c r="F102" s="26">
        <f>IF(B102="","",C102-D102)</f>
        <v/>
      </c>
      <c r="G102" s="25">
        <f>IF(B102="","",IF(F102&lt;=0,"✅ PAID",IF(D102&gt;0,"🟡 PARTIAL","🔴 LATE")))</f>
        <v/>
      </c>
    </row>
    <row r="103">
      <c r="A103" s="27" t="n"/>
      <c r="B103" s="25" t="n"/>
      <c r="C103" s="26" t="n"/>
      <c r="D103" s="26" t="n"/>
      <c r="E103" s="27" t="n"/>
      <c r="F103" s="26">
        <f>IF(B103="","",C103-D103)</f>
        <v/>
      </c>
      <c r="G103" s="25">
        <f>IF(B103="","",IF(F103&lt;=0,"✅ PAID",IF(D103&gt;0,"🟡 PARTIAL","🔴 LATE")))</f>
        <v/>
      </c>
    </row>
    <row r="104">
      <c r="A104" s="27" t="n"/>
      <c r="B104" s="25" t="n"/>
      <c r="C104" s="26" t="n"/>
      <c r="D104" s="26" t="n"/>
      <c r="E104" s="27" t="n"/>
      <c r="F104" s="26">
        <f>IF(B104="","",C104-D104)</f>
        <v/>
      </c>
      <c r="G104" s="25">
        <f>IF(B104="","",IF(F104&lt;=0,"✅ PAID",IF(D104&gt;0,"🟡 PARTIAL","🔴 LATE")))</f>
        <v/>
      </c>
    </row>
    <row r="105">
      <c r="A105" s="27" t="n"/>
      <c r="B105" s="25" t="n"/>
      <c r="C105" s="26" t="n"/>
      <c r="D105" s="26" t="n"/>
      <c r="E105" s="27" t="n"/>
      <c r="F105" s="26">
        <f>IF(B105="","",C105-D105)</f>
        <v/>
      </c>
      <c r="G105" s="25">
        <f>IF(B105="","",IF(F105&lt;=0,"✅ PAID",IF(D105&gt;0,"🟡 PARTIAL","🔴 LATE")))</f>
        <v/>
      </c>
    </row>
    <row r="106">
      <c r="A106" s="27" t="n"/>
      <c r="B106" s="25" t="n"/>
      <c r="C106" s="26" t="n"/>
      <c r="D106" s="26" t="n"/>
      <c r="E106" s="27" t="n"/>
      <c r="F106" s="26">
        <f>IF(B106="","",C106-D106)</f>
        <v/>
      </c>
      <c r="G106" s="25">
        <f>IF(B106="","",IF(F106&lt;=0,"✅ PAID",IF(D106&gt;0,"🟡 PARTIAL","🔴 LATE")))</f>
        <v/>
      </c>
    </row>
    <row r="107">
      <c r="A107" s="27" t="n"/>
      <c r="B107" s="25" t="n"/>
      <c r="C107" s="26" t="n"/>
      <c r="D107" s="26" t="n"/>
      <c r="E107" s="27" t="n"/>
      <c r="F107" s="26">
        <f>IF(B107="","",C107-D107)</f>
        <v/>
      </c>
      <c r="G107" s="25">
        <f>IF(B107="","",IF(F107&lt;=0,"✅ PAID",IF(D107&gt;0,"🟡 PARTIAL","🔴 LATE")))</f>
        <v/>
      </c>
    </row>
    <row r="108">
      <c r="A108" s="27" t="n"/>
      <c r="B108" s="25" t="n"/>
      <c r="C108" s="26" t="n"/>
      <c r="D108" s="26" t="n"/>
      <c r="E108" s="27" t="n"/>
      <c r="F108" s="26">
        <f>IF(B108="","",C108-D108)</f>
        <v/>
      </c>
      <c r="G108" s="25">
        <f>IF(B108="","",IF(F108&lt;=0,"✅ PAID",IF(D108&gt;0,"🟡 PARTIAL","🔴 LATE")))</f>
        <v/>
      </c>
    </row>
    <row r="109">
      <c r="A109" s="27" t="n"/>
      <c r="B109" s="25" t="n"/>
      <c r="C109" s="26" t="n"/>
      <c r="D109" s="26" t="n"/>
      <c r="E109" s="27" t="n"/>
      <c r="F109" s="26">
        <f>IF(B109="","",C109-D109)</f>
        <v/>
      </c>
      <c r="G109" s="25">
        <f>IF(B109="","",IF(F109&lt;=0,"✅ PAID",IF(D109&gt;0,"🟡 PARTIAL","🔴 LATE")))</f>
        <v/>
      </c>
    </row>
    <row r="110">
      <c r="A110" s="27" t="n"/>
      <c r="B110" s="25" t="n"/>
      <c r="C110" s="26" t="n"/>
      <c r="D110" s="26" t="n"/>
      <c r="E110" s="27" t="n"/>
      <c r="F110" s="26">
        <f>IF(B110="","",C110-D110)</f>
        <v/>
      </c>
      <c r="G110" s="25">
        <f>IF(B110="","",IF(F110&lt;=0,"✅ PAID",IF(D110&gt;0,"🟡 PARTIAL","🔴 LATE")))</f>
        <v/>
      </c>
    </row>
    <row r="111">
      <c r="A111" s="27" t="n"/>
      <c r="B111" s="25" t="n"/>
      <c r="C111" s="26" t="n"/>
      <c r="D111" s="26" t="n"/>
      <c r="E111" s="27" t="n"/>
      <c r="F111" s="26">
        <f>IF(B111="","",C111-D111)</f>
        <v/>
      </c>
      <c r="G111" s="25">
        <f>IF(B111="","",IF(F111&lt;=0,"✅ PAID",IF(D111&gt;0,"🟡 PARTIAL","🔴 LATE")))</f>
        <v/>
      </c>
    </row>
    <row r="112">
      <c r="A112" s="27" t="n"/>
      <c r="B112" s="25" t="n"/>
      <c r="C112" s="26" t="n"/>
      <c r="D112" s="26" t="n"/>
      <c r="E112" s="27" t="n"/>
      <c r="F112" s="26">
        <f>IF(B112="","",C112-D112)</f>
        <v/>
      </c>
      <c r="G112" s="25">
        <f>IF(B112="","",IF(F112&lt;=0,"✅ PAID",IF(D112&gt;0,"🟡 PARTIAL","🔴 LATE")))</f>
        <v/>
      </c>
    </row>
    <row r="113">
      <c r="A113" s="27" t="n"/>
      <c r="B113" s="25" t="n"/>
      <c r="C113" s="26" t="n"/>
      <c r="D113" s="26" t="n"/>
      <c r="E113" s="27" t="n"/>
      <c r="F113" s="26">
        <f>IF(B113="","",C113-D113)</f>
        <v/>
      </c>
      <c r="G113" s="25">
        <f>IF(B113="","",IF(F113&lt;=0,"✅ PAID",IF(D113&gt;0,"🟡 PARTIAL","🔴 LATE")))</f>
        <v/>
      </c>
    </row>
    <row r="114">
      <c r="A114" s="27" t="n"/>
      <c r="B114" s="25" t="n"/>
      <c r="C114" s="26" t="n"/>
      <c r="D114" s="26" t="n"/>
      <c r="E114" s="27" t="n"/>
      <c r="F114" s="26">
        <f>IF(B114="","",C114-D114)</f>
        <v/>
      </c>
      <c r="G114" s="25">
        <f>IF(B114="","",IF(F114&lt;=0,"✅ PAID",IF(D114&gt;0,"🟡 PARTIAL","🔴 LATE")))</f>
        <v/>
      </c>
    </row>
    <row r="115">
      <c r="A115" s="27" t="n"/>
      <c r="B115" s="25" t="n"/>
      <c r="C115" s="26" t="n"/>
      <c r="D115" s="26" t="n"/>
      <c r="E115" s="27" t="n"/>
      <c r="F115" s="26">
        <f>IF(B115="","",C115-D115)</f>
        <v/>
      </c>
      <c r="G115" s="25">
        <f>IF(B115="","",IF(F115&lt;=0,"✅ PAID",IF(D115&gt;0,"🟡 PARTIAL","🔴 LATE")))</f>
        <v/>
      </c>
    </row>
    <row r="116">
      <c r="A116" s="27" t="n"/>
      <c r="B116" s="25" t="n"/>
      <c r="C116" s="26" t="n"/>
      <c r="D116" s="26" t="n"/>
      <c r="E116" s="27" t="n"/>
      <c r="F116" s="26">
        <f>IF(B116="","",C116-D116)</f>
        <v/>
      </c>
      <c r="G116" s="25">
        <f>IF(B116="","",IF(F116&lt;=0,"✅ PAID",IF(D116&gt;0,"🟡 PARTIAL","🔴 LATE")))</f>
        <v/>
      </c>
    </row>
    <row r="117">
      <c r="A117" s="27" t="n"/>
      <c r="B117" s="25" t="n"/>
      <c r="C117" s="26" t="n"/>
      <c r="D117" s="26" t="n"/>
      <c r="E117" s="27" t="n"/>
      <c r="F117" s="26">
        <f>IF(B117="","",C117-D117)</f>
        <v/>
      </c>
      <c r="G117" s="25">
        <f>IF(B117="","",IF(F117&lt;=0,"✅ PAID",IF(D117&gt;0,"🟡 PARTIAL","🔴 LATE")))</f>
        <v/>
      </c>
    </row>
    <row r="118">
      <c r="A118" s="27" t="n"/>
      <c r="B118" s="25" t="n"/>
      <c r="C118" s="26" t="n"/>
      <c r="D118" s="26" t="n"/>
      <c r="E118" s="27" t="n"/>
      <c r="F118" s="26">
        <f>IF(B118="","",C118-D118)</f>
        <v/>
      </c>
      <c r="G118" s="25">
        <f>IF(B118="","",IF(F118&lt;=0,"✅ PAID",IF(D118&gt;0,"🟡 PARTIAL","🔴 LATE")))</f>
        <v/>
      </c>
    </row>
    <row r="119">
      <c r="A119" s="27" t="n"/>
      <c r="B119" s="25" t="n"/>
      <c r="C119" s="26" t="n"/>
      <c r="D119" s="26" t="n"/>
      <c r="E119" s="27" t="n"/>
      <c r="F119" s="26">
        <f>IF(B119="","",C119-D119)</f>
        <v/>
      </c>
      <c r="G119" s="25">
        <f>IF(B119="","",IF(F119&lt;=0,"✅ PAID",IF(D119&gt;0,"🟡 PARTIAL","🔴 LATE")))</f>
        <v/>
      </c>
    </row>
    <row r="120">
      <c r="A120" s="27" t="n"/>
      <c r="B120" s="25" t="n"/>
      <c r="C120" s="26" t="n"/>
      <c r="D120" s="26" t="n"/>
      <c r="E120" s="27" t="n"/>
      <c r="F120" s="26">
        <f>IF(B120="","",C120-D120)</f>
        <v/>
      </c>
      <c r="G120" s="25">
        <f>IF(B120="","",IF(F120&lt;=0,"✅ PAID",IF(D120&gt;0,"🟡 PARTIAL","🔴 LATE")))</f>
        <v/>
      </c>
    </row>
    <row r="121">
      <c r="A121" s="27" t="n"/>
      <c r="B121" s="25" t="n"/>
      <c r="C121" s="26" t="n"/>
      <c r="D121" s="26" t="n"/>
      <c r="E121" s="27" t="n"/>
      <c r="F121" s="26">
        <f>IF(B121="","",C121-D121)</f>
        <v/>
      </c>
      <c r="G121" s="25">
        <f>IF(B121="","",IF(F121&lt;=0,"✅ PAID",IF(D121&gt;0,"🟡 PARTIAL","🔴 LATE")))</f>
        <v/>
      </c>
    </row>
    <row r="122">
      <c r="A122" s="27" t="n"/>
      <c r="B122" s="25" t="n"/>
      <c r="C122" s="26" t="n"/>
      <c r="D122" s="26" t="n"/>
      <c r="E122" s="27" t="n"/>
      <c r="F122" s="26">
        <f>IF(B122="","",C122-D122)</f>
        <v/>
      </c>
      <c r="G122" s="25">
        <f>IF(B122="","",IF(F122&lt;=0,"✅ PAID",IF(D122&gt;0,"🟡 PARTIAL","🔴 LATE")))</f>
        <v/>
      </c>
    </row>
    <row r="123">
      <c r="A123" s="27" t="n"/>
      <c r="B123" s="25" t="n"/>
      <c r="C123" s="26" t="n"/>
      <c r="D123" s="26" t="n"/>
      <c r="E123" s="27" t="n"/>
      <c r="F123" s="26">
        <f>IF(B123="","",C123-D123)</f>
        <v/>
      </c>
      <c r="G123" s="25">
        <f>IF(B123="","",IF(F123&lt;=0,"✅ PAID",IF(D123&gt;0,"🟡 PARTIAL","🔴 LATE")))</f>
        <v/>
      </c>
    </row>
    <row r="124">
      <c r="A124" s="27" t="n"/>
      <c r="B124" s="25" t="n"/>
      <c r="C124" s="26" t="n"/>
      <c r="D124" s="26" t="n"/>
      <c r="E124" s="27" t="n"/>
      <c r="F124" s="26">
        <f>IF(B124="","",C124-D124)</f>
        <v/>
      </c>
      <c r="G124" s="25">
        <f>IF(B124="","",IF(F124&lt;=0,"✅ PAID",IF(D124&gt;0,"🟡 PARTIAL","🔴 LATE")))</f>
        <v/>
      </c>
    </row>
    <row r="125">
      <c r="A125" s="27" t="n"/>
      <c r="B125" s="25" t="n"/>
      <c r="C125" s="26" t="n"/>
      <c r="D125" s="26" t="n"/>
      <c r="E125" s="27" t="n"/>
      <c r="F125" s="26">
        <f>IF(B125="","",C125-D125)</f>
        <v/>
      </c>
      <c r="G125" s="25">
        <f>IF(B125="","",IF(F125&lt;=0,"✅ PAID",IF(D125&gt;0,"🟡 PARTIAL","🔴 LATE")))</f>
        <v/>
      </c>
    </row>
    <row r="126">
      <c r="A126" s="27" t="n"/>
      <c r="B126" s="25" t="n"/>
      <c r="C126" s="26" t="n"/>
      <c r="D126" s="26" t="n"/>
      <c r="E126" s="27" t="n"/>
      <c r="F126" s="26">
        <f>IF(B126="","",C126-D126)</f>
        <v/>
      </c>
      <c r="G126" s="25">
        <f>IF(B126="","",IF(F126&lt;=0,"✅ PAID",IF(D126&gt;0,"🟡 PARTIAL","🔴 LATE")))</f>
        <v/>
      </c>
    </row>
    <row r="127">
      <c r="A127" s="27" t="n"/>
      <c r="B127" s="25" t="n"/>
      <c r="C127" s="26" t="n"/>
      <c r="D127" s="26" t="n"/>
      <c r="E127" s="27" t="n"/>
      <c r="F127" s="26">
        <f>IF(B127="","",C127-D127)</f>
        <v/>
      </c>
      <c r="G127" s="25">
        <f>IF(B127="","",IF(F127&lt;=0,"✅ PAID",IF(D127&gt;0,"🟡 PARTIAL","🔴 LATE")))</f>
        <v/>
      </c>
    </row>
    <row r="128">
      <c r="A128" s="27" t="n"/>
      <c r="B128" s="25" t="n"/>
      <c r="C128" s="26" t="n"/>
      <c r="D128" s="26" t="n"/>
      <c r="E128" s="27" t="n"/>
      <c r="F128" s="26">
        <f>IF(B128="","",C128-D128)</f>
        <v/>
      </c>
      <c r="G128" s="25">
        <f>IF(B128="","",IF(F128&lt;=0,"✅ PAID",IF(D128&gt;0,"🟡 PARTIAL","🔴 LATE")))</f>
        <v/>
      </c>
    </row>
    <row r="129">
      <c r="A129" s="27" t="n"/>
      <c r="B129" s="25" t="n"/>
      <c r="C129" s="26" t="n"/>
      <c r="D129" s="26" t="n"/>
      <c r="E129" s="27" t="n"/>
      <c r="F129" s="26">
        <f>IF(B129="","",C129-D129)</f>
        <v/>
      </c>
      <c r="G129" s="25">
        <f>IF(B129="","",IF(F129&lt;=0,"✅ PAID",IF(D129&gt;0,"🟡 PARTIAL","🔴 LATE")))</f>
        <v/>
      </c>
    </row>
    <row r="130">
      <c r="A130" s="27" t="n"/>
      <c r="B130" s="25" t="n"/>
      <c r="C130" s="26" t="n"/>
      <c r="D130" s="26" t="n"/>
      <c r="E130" s="27" t="n"/>
      <c r="F130" s="26">
        <f>IF(B130="","",C130-D130)</f>
        <v/>
      </c>
      <c r="G130" s="25">
        <f>IF(B130="","",IF(F130&lt;=0,"✅ PAID",IF(D130&gt;0,"🟡 PARTIAL","🔴 LATE")))</f>
        <v/>
      </c>
    </row>
    <row r="131">
      <c r="A131" s="27" t="n"/>
      <c r="B131" s="25" t="n"/>
      <c r="C131" s="26" t="n"/>
      <c r="D131" s="26" t="n"/>
      <c r="E131" s="27" t="n"/>
      <c r="F131" s="26">
        <f>IF(B131="","",C131-D131)</f>
        <v/>
      </c>
      <c r="G131" s="25">
        <f>IF(B131="","",IF(F131&lt;=0,"✅ PAID",IF(D131&gt;0,"🟡 PARTIAL","🔴 LATE")))</f>
        <v/>
      </c>
    </row>
    <row r="132">
      <c r="A132" s="27" t="n"/>
      <c r="B132" s="25" t="n"/>
      <c r="C132" s="26" t="n"/>
      <c r="D132" s="26" t="n"/>
      <c r="E132" s="27" t="n"/>
      <c r="F132" s="26">
        <f>IF(B132="","",C132-D132)</f>
        <v/>
      </c>
      <c r="G132" s="25">
        <f>IF(B132="","",IF(F132&lt;=0,"✅ PAID",IF(D132&gt;0,"🟡 PARTIAL","🔴 LATE")))</f>
        <v/>
      </c>
    </row>
    <row r="133">
      <c r="A133" s="27" t="n"/>
      <c r="B133" s="25" t="n"/>
      <c r="C133" s="26" t="n"/>
      <c r="D133" s="26" t="n"/>
      <c r="E133" s="27" t="n"/>
      <c r="F133" s="26">
        <f>IF(B133="","",C133-D133)</f>
        <v/>
      </c>
      <c r="G133" s="25">
        <f>IF(B133="","",IF(F133&lt;=0,"✅ PAID",IF(D133&gt;0,"🟡 PARTIAL","🔴 LATE")))</f>
        <v/>
      </c>
    </row>
    <row r="134">
      <c r="A134" s="27" t="n"/>
      <c r="B134" s="25" t="n"/>
      <c r="C134" s="26" t="n"/>
      <c r="D134" s="26" t="n"/>
      <c r="E134" s="27" t="n"/>
      <c r="F134" s="26">
        <f>IF(B134="","",C134-D134)</f>
        <v/>
      </c>
      <c r="G134" s="25">
        <f>IF(B134="","",IF(F134&lt;=0,"✅ PAID",IF(D134&gt;0,"🟡 PARTIAL","🔴 LATE")))</f>
        <v/>
      </c>
    </row>
    <row r="135">
      <c r="A135" s="27" t="n"/>
      <c r="B135" s="25" t="n"/>
      <c r="C135" s="26" t="n"/>
      <c r="D135" s="26" t="n"/>
      <c r="E135" s="27" t="n"/>
      <c r="F135" s="26">
        <f>IF(B135="","",C135-D135)</f>
        <v/>
      </c>
      <c r="G135" s="25">
        <f>IF(B135="","",IF(F135&lt;=0,"✅ PAID",IF(D135&gt;0,"🟡 PARTIAL","🔴 LATE")))</f>
        <v/>
      </c>
    </row>
    <row r="136">
      <c r="A136" s="27" t="n"/>
      <c r="B136" s="25" t="n"/>
      <c r="C136" s="26" t="n"/>
      <c r="D136" s="26" t="n"/>
      <c r="E136" s="27" t="n"/>
      <c r="F136" s="26">
        <f>IF(B136="","",C136-D136)</f>
        <v/>
      </c>
      <c r="G136" s="25">
        <f>IF(B136="","",IF(F136&lt;=0,"✅ PAID",IF(D136&gt;0,"🟡 PARTIAL","🔴 LATE")))</f>
        <v/>
      </c>
    </row>
    <row r="137">
      <c r="A137" s="27" t="n"/>
      <c r="B137" s="25" t="n"/>
      <c r="C137" s="26" t="n"/>
      <c r="D137" s="26" t="n"/>
      <c r="E137" s="27" t="n"/>
      <c r="F137" s="26">
        <f>IF(B137="","",C137-D137)</f>
        <v/>
      </c>
      <c r="G137" s="25">
        <f>IF(B137="","",IF(F137&lt;=0,"✅ PAID",IF(D137&gt;0,"🟡 PARTIAL","🔴 LATE")))</f>
        <v/>
      </c>
    </row>
    <row r="138">
      <c r="A138" s="27" t="n"/>
      <c r="B138" s="25" t="n"/>
      <c r="C138" s="26" t="n"/>
      <c r="D138" s="26" t="n"/>
      <c r="E138" s="27" t="n"/>
      <c r="F138" s="26">
        <f>IF(B138="","",C138-D138)</f>
        <v/>
      </c>
      <c r="G138" s="25">
        <f>IF(B138="","",IF(F138&lt;=0,"✅ PAID",IF(D138&gt;0,"🟡 PARTIAL","🔴 LATE")))</f>
        <v/>
      </c>
    </row>
    <row r="139">
      <c r="A139" s="27" t="n"/>
      <c r="B139" s="25" t="n"/>
      <c r="C139" s="26" t="n"/>
      <c r="D139" s="26" t="n"/>
      <c r="E139" s="27" t="n"/>
      <c r="F139" s="26">
        <f>IF(B139="","",C139-D139)</f>
        <v/>
      </c>
      <c r="G139" s="25">
        <f>IF(B139="","",IF(F139&lt;=0,"✅ PAID",IF(D139&gt;0,"🟡 PARTIAL","🔴 LATE")))</f>
        <v/>
      </c>
    </row>
    <row r="140">
      <c r="A140" s="27" t="n"/>
      <c r="B140" s="25" t="n"/>
      <c r="C140" s="26" t="n"/>
      <c r="D140" s="26" t="n"/>
      <c r="E140" s="27" t="n"/>
      <c r="F140" s="26">
        <f>IF(B140="","",C140-D140)</f>
        <v/>
      </c>
      <c r="G140" s="25">
        <f>IF(B140="","",IF(F140&lt;=0,"✅ PAID",IF(D140&gt;0,"🟡 PARTIAL","🔴 LATE")))</f>
        <v/>
      </c>
    </row>
    <row r="141">
      <c r="A141" s="27" t="n"/>
      <c r="B141" s="25" t="n"/>
      <c r="C141" s="26" t="n"/>
      <c r="D141" s="26" t="n"/>
      <c r="E141" s="27" t="n"/>
      <c r="F141" s="26">
        <f>IF(B141="","",C141-D141)</f>
        <v/>
      </c>
      <c r="G141" s="25">
        <f>IF(B141="","",IF(F141&lt;=0,"✅ PAID",IF(D141&gt;0,"🟡 PARTIAL","🔴 LATE")))</f>
        <v/>
      </c>
    </row>
    <row r="142">
      <c r="A142" s="27" t="n"/>
      <c r="B142" s="25" t="n"/>
      <c r="C142" s="26" t="n"/>
      <c r="D142" s="26" t="n"/>
      <c r="E142" s="27" t="n"/>
      <c r="F142" s="26">
        <f>IF(B142="","",C142-D142)</f>
        <v/>
      </c>
      <c r="G142" s="25">
        <f>IF(B142="","",IF(F142&lt;=0,"✅ PAID",IF(D142&gt;0,"🟡 PARTIAL","🔴 LATE")))</f>
        <v/>
      </c>
    </row>
    <row r="143">
      <c r="A143" s="27" t="n"/>
      <c r="B143" s="25" t="n"/>
      <c r="C143" s="26" t="n"/>
      <c r="D143" s="26" t="n"/>
      <c r="E143" s="27" t="n"/>
      <c r="F143" s="26">
        <f>IF(B143="","",C143-D143)</f>
        <v/>
      </c>
      <c r="G143" s="25">
        <f>IF(B143="","",IF(F143&lt;=0,"✅ PAID",IF(D143&gt;0,"🟡 PARTIAL","🔴 LATE")))</f>
        <v/>
      </c>
    </row>
    <row r="144">
      <c r="A144" s="27" t="n"/>
      <c r="B144" s="25" t="n"/>
      <c r="C144" s="26" t="n"/>
      <c r="D144" s="26" t="n"/>
      <c r="E144" s="27" t="n"/>
      <c r="F144" s="26">
        <f>IF(B144="","",C144-D144)</f>
        <v/>
      </c>
      <c r="G144" s="25">
        <f>IF(B144="","",IF(F144&lt;=0,"✅ PAID",IF(D144&gt;0,"🟡 PARTIAL","🔴 LATE")))</f>
        <v/>
      </c>
    </row>
    <row r="145">
      <c r="A145" s="27" t="n"/>
      <c r="B145" s="25" t="n"/>
      <c r="C145" s="26" t="n"/>
      <c r="D145" s="26" t="n"/>
      <c r="E145" s="27" t="n"/>
      <c r="F145" s="26">
        <f>IF(B145="","",C145-D145)</f>
        <v/>
      </c>
      <c r="G145" s="25">
        <f>IF(B145="","",IF(F145&lt;=0,"✅ PAID",IF(D145&gt;0,"🟡 PARTIAL","🔴 LATE")))</f>
        <v/>
      </c>
    </row>
    <row r="146">
      <c r="A146" s="27" t="n"/>
      <c r="B146" s="25" t="n"/>
      <c r="C146" s="26" t="n"/>
      <c r="D146" s="26" t="n"/>
      <c r="E146" s="27" t="n"/>
      <c r="F146" s="26">
        <f>IF(B146="","",C146-D146)</f>
        <v/>
      </c>
      <c r="G146" s="25">
        <f>IF(B146="","",IF(F146&lt;=0,"✅ PAID",IF(D146&gt;0,"🟡 PARTIAL","🔴 LATE")))</f>
        <v/>
      </c>
    </row>
    <row r="147">
      <c r="A147" s="27" t="n"/>
      <c r="B147" s="25" t="n"/>
      <c r="C147" s="26" t="n"/>
      <c r="D147" s="26" t="n"/>
      <c r="E147" s="27" t="n"/>
      <c r="F147" s="26">
        <f>IF(B147="","",C147-D147)</f>
        <v/>
      </c>
      <c r="G147" s="25">
        <f>IF(B147="","",IF(F147&lt;=0,"✅ PAID",IF(D147&gt;0,"🟡 PARTIAL","🔴 LATE")))</f>
        <v/>
      </c>
    </row>
    <row r="148">
      <c r="A148" s="27" t="n"/>
      <c r="B148" s="25" t="n"/>
      <c r="C148" s="26" t="n"/>
      <c r="D148" s="26" t="n"/>
      <c r="E148" s="27" t="n"/>
      <c r="F148" s="26">
        <f>IF(B148="","",C148-D148)</f>
        <v/>
      </c>
      <c r="G148" s="25">
        <f>IF(B148="","",IF(F148&lt;=0,"✅ PAID",IF(D148&gt;0,"🟡 PARTIAL","🔴 LATE")))</f>
        <v/>
      </c>
    </row>
    <row r="149">
      <c r="A149" s="27" t="n"/>
      <c r="B149" s="25" t="n"/>
      <c r="C149" s="26" t="n"/>
      <c r="D149" s="26" t="n"/>
      <c r="E149" s="27" t="n"/>
      <c r="F149" s="26">
        <f>IF(B149="","",C149-D149)</f>
        <v/>
      </c>
      <c r="G149" s="25">
        <f>IF(B149="","",IF(F149&lt;=0,"✅ PAID",IF(D149&gt;0,"🟡 PARTIAL","🔴 LATE")))</f>
        <v/>
      </c>
    </row>
    <row r="150">
      <c r="A150" s="27" t="n"/>
      <c r="B150" s="25" t="n"/>
      <c r="C150" s="26" t="n"/>
      <c r="D150" s="26" t="n"/>
      <c r="E150" s="27" t="n"/>
      <c r="F150" s="26">
        <f>IF(B150="","",C150-D150)</f>
        <v/>
      </c>
      <c r="G150" s="25">
        <f>IF(B150="","",IF(F150&lt;=0,"✅ PAID",IF(D150&gt;0,"🟡 PARTIAL","🔴 LATE")))</f>
        <v/>
      </c>
    </row>
    <row r="151">
      <c r="A151" s="27" t="n"/>
      <c r="B151" s="25" t="n"/>
      <c r="C151" s="26" t="n"/>
      <c r="D151" s="26" t="n"/>
      <c r="E151" s="27" t="n"/>
      <c r="F151" s="26">
        <f>IF(B151="","",C151-D151)</f>
        <v/>
      </c>
      <c r="G151" s="25">
        <f>IF(B151="","",IF(F151&lt;=0,"✅ PAID",IF(D151&gt;0,"🟡 PARTIAL","🔴 LATE")))</f>
        <v/>
      </c>
    </row>
    <row r="152">
      <c r="A152" s="27" t="n"/>
      <c r="B152" s="25" t="n"/>
      <c r="C152" s="26" t="n"/>
      <c r="D152" s="26" t="n"/>
      <c r="E152" s="27" t="n"/>
      <c r="F152" s="26">
        <f>IF(B152="","",C152-D152)</f>
        <v/>
      </c>
      <c r="G152" s="25">
        <f>IF(B152="","",IF(F152&lt;=0,"✅ PAID",IF(D152&gt;0,"🟡 PARTIAL","🔴 LATE")))</f>
        <v/>
      </c>
    </row>
    <row r="153">
      <c r="A153" s="27" t="n"/>
      <c r="B153" s="25" t="n"/>
      <c r="C153" s="26" t="n"/>
      <c r="D153" s="26" t="n"/>
      <c r="E153" s="27" t="n"/>
      <c r="F153" s="26">
        <f>IF(B153="","",C153-D153)</f>
        <v/>
      </c>
      <c r="G153" s="25">
        <f>IF(B153="","",IF(F153&lt;=0,"✅ PAID",IF(D153&gt;0,"🟡 PARTIAL","🔴 LATE")))</f>
        <v/>
      </c>
    </row>
    <row r="154">
      <c r="A154" s="27" t="n"/>
      <c r="B154" s="25" t="n"/>
      <c r="C154" s="26" t="n"/>
      <c r="D154" s="26" t="n"/>
      <c r="E154" s="27" t="n"/>
      <c r="F154" s="26">
        <f>IF(B154="","",C154-D154)</f>
        <v/>
      </c>
      <c r="G154" s="25">
        <f>IF(B154="","",IF(F154&lt;=0,"✅ PAID",IF(D154&gt;0,"🟡 PARTIAL","🔴 LATE")))</f>
        <v/>
      </c>
    </row>
    <row r="155">
      <c r="A155" s="27" t="n"/>
      <c r="B155" s="25" t="n"/>
      <c r="C155" s="26" t="n"/>
      <c r="D155" s="26" t="n"/>
      <c r="E155" s="27" t="n"/>
      <c r="F155" s="26">
        <f>IF(B155="","",C155-D155)</f>
        <v/>
      </c>
      <c r="G155" s="25">
        <f>IF(B155="","",IF(F155&lt;=0,"✅ PAID",IF(D155&gt;0,"🟡 PARTIAL","🔴 LATE")))</f>
        <v/>
      </c>
    </row>
    <row r="156">
      <c r="A156" s="27" t="n"/>
      <c r="B156" s="25" t="n"/>
      <c r="C156" s="26" t="n"/>
      <c r="D156" s="26" t="n"/>
      <c r="E156" s="27" t="n"/>
      <c r="F156" s="26">
        <f>IF(B156="","",C156-D156)</f>
        <v/>
      </c>
      <c r="G156" s="25">
        <f>IF(B156="","",IF(F156&lt;=0,"✅ PAID",IF(D156&gt;0,"🟡 PARTIAL","🔴 LATE")))</f>
        <v/>
      </c>
    </row>
    <row r="157">
      <c r="A157" s="27" t="n"/>
      <c r="B157" s="25" t="n"/>
      <c r="C157" s="26" t="n"/>
      <c r="D157" s="26" t="n"/>
      <c r="E157" s="27" t="n"/>
      <c r="F157" s="26">
        <f>IF(B157="","",C157-D157)</f>
        <v/>
      </c>
      <c r="G157" s="25">
        <f>IF(B157="","",IF(F157&lt;=0,"✅ PAID",IF(D157&gt;0,"🟡 PARTIAL","🔴 LATE")))</f>
        <v/>
      </c>
    </row>
    <row r="158">
      <c r="A158" s="27" t="n"/>
      <c r="B158" s="25" t="n"/>
      <c r="C158" s="26" t="n"/>
      <c r="D158" s="26" t="n"/>
      <c r="E158" s="27" t="n"/>
      <c r="F158" s="26">
        <f>IF(B158="","",C158-D158)</f>
        <v/>
      </c>
      <c r="G158" s="25">
        <f>IF(B158="","",IF(F158&lt;=0,"✅ PAID",IF(D158&gt;0,"🟡 PARTIAL","🔴 LATE")))</f>
        <v/>
      </c>
    </row>
    <row r="159">
      <c r="A159" s="27" t="n"/>
      <c r="B159" s="25" t="n"/>
      <c r="C159" s="26" t="n"/>
      <c r="D159" s="26" t="n"/>
      <c r="E159" s="27" t="n"/>
      <c r="F159" s="26">
        <f>IF(B159="","",C159-D159)</f>
        <v/>
      </c>
      <c r="G159" s="25">
        <f>IF(B159="","",IF(F159&lt;=0,"✅ PAID",IF(D159&gt;0,"🟡 PARTIAL","🔴 LATE")))</f>
        <v/>
      </c>
    </row>
    <row r="160">
      <c r="A160" s="27" t="n"/>
      <c r="B160" s="25" t="n"/>
      <c r="C160" s="26" t="n"/>
      <c r="D160" s="26" t="n"/>
      <c r="E160" s="27" t="n"/>
      <c r="F160" s="26">
        <f>IF(B160="","",C160-D160)</f>
        <v/>
      </c>
      <c r="G160" s="25">
        <f>IF(B160="","",IF(F160&lt;=0,"✅ PAID",IF(D160&gt;0,"🟡 PARTIAL","🔴 LATE")))</f>
        <v/>
      </c>
    </row>
    <row r="161">
      <c r="A161" s="27" t="n"/>
      <c r="B161" s="25" t="n"/>
      <c r="C161" s="26" t="n"/>
      <c r="D161" s="26" t="n"/>
      <c r="E161" s="27" t="n"/>
      <c r="F161" s="26">
        <f>IF(B161="","",C161-D161)</f>
        <v/>
      </c>
      <c r="G161" s="25">
        <f>IF(B161="","",IF(F161&lt;=0,"✅ PAID",IF(D161&gt;0,"🟡 PARTIAL","🔴 LATE")))</f>
        <v/>
      </c>
    </row>
    <row r="162">
      <c r="A162" s="27" t="n"/>
      <c r="B162" s="25" t="n"/>
      <c r="C162" s="26" t="n"/>
      <c r="D162" s="26" t="n"/>
      <c r="E162" s="27" t="n"/>
      <c r="F162" s="26">
        <f>IF(B162="","",C162-D162)</f>
        <v/>
      </c>
      <c r="G162" s="25">
        <f>IF(B162="","",IF(F162&lt;=0,"✅ PAID",IF(D162&gt;0,"🟡 PARTIAL","🔴 LATE")))</f>
        <v/>
      </c>
    </row>
    <row r="163">
      <c r="A163" s="27" t="n"/>
      <c r="B163" s="25" t="n"/>
      <c r="C163" s="26" t="n"/>
      <c r="D163" s="26" t="n"/>
      <c r="E163" s="27" t="n"/>
      <c r="F163" s="26">
        <f>IF(B163="","",C163-D163)</f>
        <v/>
      </c>
      <c r="G163" s="25">
        <f>IF(B163="","",IF(F163&lt;=0,"✅ PAID",IF(D163&gt;0,"🟡 PARTIAL","🔴 LATE")))</f>
        <v/>
      </c>
    </row>
    <row r="164">
      <c r="A164" s="27" t="n"/>
      <c r="B164" s="25" t="n"/>
      <c r="C164" s="26" t="n"/>
      <c r="D164" s="26" t="n"/>
      <c r="E164" s="27" t="n"/>
      <c r="F164" s="26">
        <f>IF(B164="","",C164-D164)</f>
        <v/>
      </c>
      <c r="G164" s="25">
        <f>IF(B164="","",IF(F164&lt;=0,"✅ PAID",IF(D164&gt;0,"🟡 PARTIAL","🔴 LATE")))</f>
        <v/>
      </c>
    </row>
    <row r="165">
      <c r="A165" s="27" t="n"/>
      <c r="B165" s="25" t="n"/>
      <c r="C165" s="26" t="n"/>
      <c r="D165" s="26" t="n"/>
      <c r="E165" s="27" t="n"/>
      <c r="F165" s="26">
        <f>IF(B165="","",C165-D165)</f>
        <v/>
      </c>
      <c r="G165" s="25">
        <f>IF(B165="","",IF(F165&lt;=0,"✅ PAID",IF(D165&gt;0,"🟡 PARTIAL","🔴 LATE")))</f>
        <v/>
      </c>
    </row>
    <row r="166">
      <c r="A166" s="27" t="n"/>
      <c r="B166" s="25" t="n"/>
      <c r="C166" s="26" t="n"/>
      <c r="D166" s="26" t="n"/>
      <c r="E166" s="27" t="n"/>
      <c r="F166" s="26">
        <f>IF(B166="","",C166-D166)</f>
        <v/>
      </c>
      <c r="G166" s="25">
        <f>IF(B166="","",IF(F166&lt;=0,"✅ PAID",IF(D166&gt;0,"🟡 PARTIAL","🔴 LATE")))</f>
        <v/>
      </c>
    </row>
    <row r="167">
      <c r="A167" s="27" t="n"/>
      <c r="B167" s="25" t="n"/>
      <c r="C167" s="26" t="n"/>
      <c r="D167" s="26" t="n"/>
      <c r="E167" s="27" t="n"/>
      <c r="F167" s="26">
        <f>IF(B167="","",C167-D167)</f>
        <v/>
      </c>
      <c r="G167" s="25">
        <f>IF(B167="","",IF(F167&lt;=0,"✅ PAID",IF(D167&gt;0,"🟡 PARTIAL","🔴 LATE")))</f>
        <v/>
      </c>
    </row>
    <row r="168">
      <c r="A168" s="27" t="n"/>
      <c r="B168" s="25" t="n"/>
      <c r="C168" s="26" t="n"/>
      <c r="D168" s="26" t="n"/>
      <c r="E168" s="27" t="n"/>
      <c r="F168" s="26">
        <f>IF(B168="","",C168-D168)</f>
        <v/>
      </c>
      <c r="G168" s="25">
        <f>IF(B168="","",IF(F168&lt;=0,"✅ PAID",IF(D168&gt;0,"🟡 PARTIAL","🔴 LATE")))</f>
        <v/>
      </c>
    </row>
    <row r="169">
      <c r="A169" s="27" t="n"/>
      <c r="B169" s="25" t="n"/>
      <c r="C169" s="26" t="n"/>
      <c r="D169" s="26" t="n"/>
      <c r="E169" s="27" t="n"/>
      <c r="F169" s="26">
        <f>IF(B169="","",C169-D169)</f>
        <v/>
      </c>
      <c r="G169" s="25">
        <f>IF(B169="","",IF(F169&lt;=0,"✅ PAID",IF(D169&gt;0,"🟡 PARTIAL","🔴 LATE")))</f>
        <v/>
      </c>
    </row>
    <row r="170">
      <c r="A170" s="27" t="n"/>
      <c r="B170" s="25" t="n"/>
      <c r="C170" s="26" t="n"/>
      <c r="D170" s="26" t="n"/>
      <c r="E170" s="27" t="n"/>
      <c r="F170" s="26">
        <f>IF(B170="","",C170-D170)</f>
        <v/>
      </c>
      <c r="G170" s="25">
        <f>IF(B170="","",IF(F170&lt;=0,"✅ PAID",IF(D170&gt;0,"🟡 PARTIAL","🔴 LATE")))</f>
        <v/>
      </c>
    </row>
    <row r="171">
      <c r="A171" s="27" t="n"/>
      <c r="B171" s="25" t="n"/>
      <c r="C171" s="26" t="n"/>
      <c r="D171" s="26" t="n"/>
      <c r="E171" s="27" t="n"/>
      <c r="F171" s="26">
        <f>IF(B171="","",C171-D171)</f>
        <v/>
      </c>
      <c r="G171" s="25">
        <f>IF(B171="","",IF(F171&lt;=0,"✅ PAID",IF(D171&gt;0,"🟡 PARTIAL","🔴 LATE")))</f>
        <v/>
      </c>
    </row>
    <row r="172">
      <c r="A172" s="27" t="n"/>
      <c r="B172" s="25" t="n"/>
      <c r="C172" s="26" t="n"/>
      <c r="D172" s="26" t="n"/>
      <c r="E172" s="27" t="n"/>
      <c r="F172" s="26">
        <f>IF(B172="","",C172-D172)</f>
        <v/>
      </c>
      <c r="G172" s="25">
        <f>IF(B172="","",IF(F172&lt;=0,"✅ PAID",IF(D172&gt;0,"🟡 PARTIAL","🔴 LATE")))</f>
        <v/>
      </c>
    </row>
    <row r="173">
      <c r="A173" s="27" t="n"/>
      <c r="B173" s="25" t="n"/>
      <c r="C173" s="26" t="n"/>
      <c r="D173" s="26" t="n"/>
      <c r="E173" s="27" t="n"/>
      <c r="F173" s="26">
        <f>IF(B173="","",C173-D173)</f>
        <v/>
      </c>
      <c r="G173" s="25">
        <f>IF(B173="","",IF(F173&lt;=0,"✅ PAID",IF(D173&gt;0,"🟡 PARTIAL","🔴 LATE")))</f>
        <v/>
      </c>
    </row>
    <row r="174">
      <c r="A174" s="27" t="n"/>
      <c r="B174" s="25" t="n"/>
      <c r="C174" s="26" t="n"/>
      <c r="D174" s="26" t="n"/>
      <c r="E174" s="27" t="n"/>
      <c r="F174" s="26">
        <f>IF(B174="","",C174-D174)</f>
        <v/>
      </c>
      <c r="G174" s="25">
        <f>IF(B174="","",IF(F174&lt;=0,"✅ PAID",IF(D174&gt;0,"🟡 PARTIAL","🔴 LATE")))</f>
        <v/>
      </c>
    </row>
    <row r="175">
      <c r="A175" s="27" t="n"/>
      <c r="B175" s="25" t="n"/>
      <c r="C175" s="26" t="n"/>
      <c r="D175" s="26" t="n"/>
      <c r="E175" s="27" t="n"/>
      <c r="F175" s="26">
        <f>IF(B175="","",C175-D175)</f>
        <v/>
      </c>
      <c r="G175" s="25">
        <f>IF(B175="","",IF(F175&lt;=0,"✅ PAID",IF(D175&gt;0,"🟡 PARTIAL","🔴 LATE")))</f>
        <v/>
      </c>
    </row>
    <row r="176">
      <c r="A176" s="27" t="n"/>
      <c r="B176" s="25" t="n"/>
      <c r="C176" s="26" t="n"/>
      <c r="D176" s="26" t="n"/>
      <c r="E176" s="27" t="n"/>
      <c r="F176" s="26">
        <f>IF(B176="","",C176-D176)</f>
        <v/>
      </c>
      <c r="G176" s="25">
        <f>IF(B176="","",IF(F176&lt;=0,"✅ PAID",IF(D176&gt;0,"🟡 PARTIAL","🔴 LATE")))</f>
        <v/>
      </c>
    </row>
    <row r="177">
      <c r="A177" s="27" t="n"/>
      <c r="B177" s="25" t="n"/>
      <c r="C177" s="26" t="n"/>
      <c r="D177" s="26" t="n"/>
      <c r="E177" s="27" t="n"/>
      <c r="F177" s="26">
        <f>IF(B177="","",C177-D177)</f>
        <v/>
      </c>
      <c r="G177" s="25">
        <f>IF(B177="","",IF(F177&lt;=0,"✅ PAID",IF(D177&gt;0,"🟡 PARTIAL","🔴 LATE")))</f>
        <v/>
      </c>
    </row>
    <row r="178">
      <c r="A178" s="27" t="n"/>
      <c r="B178" s="25" t="n"/>
      <c r="C178" s="26" t="n"/>
      <c r="D178" s="26" t="n"/>
      <c r="E178" s="27" t="n"/>
      <c r="F178" s="26">
        <f>IF(B178="","",C178-D178)</f>
        <v/>
      </c>
      <c r="G178" s="25">
        <f>IF(B178="","",IF(F178&lt;=0,"✅ PAID",IF(D178&gt;0,"🟡 PARTIAL","🔴 LATE")))</f>
        <v/>
      </c>
    </row>
    <row r="179">
      <c r="A179" s="27" t="n"/>
      <c r="B179" s="25" t="n"/>
      <c r="C179" s="26" t="n"/>
      <c r="D179" s="26" t="n"/>
      <c r="E179" s="27" t="n"/>
      <c r="F179" s="26">
        <f>IF(B179="","",C179-D179)</f>
        <v/>
      </c>
      <c r="G179" s="25">
        <f>IF(B179="","",IF(F179&lt;=0,"✅ PAID",IF(D179&gt;0,"🟡 PARTIAL","🔴 LATE")))</f>
        <v/>
      </c>
    </row>
    <row r="180">
      <c r="A180" s="27" t="n"/>
      <c r="B180" s="25" t="n"/>
      <c r="C180" s="26" t="n"/>
      <c r="D180" s="26" t="n"/>
      <c r="E180" s="27" t="n"/>
      <c r="F180" s="26">
        <f>IF(B180="","",C180-D180)</f>
        <v/>
      </c>
      <c r="G180" s="25">
        <f>IF(B180="","",IF(F180&lt;=0,"✅ PAID",IF(D180&gt;0,"🟡 PARTIAL","🔴 LATE")))</f>
        <v/>
      </c>
    </row>
    <row r="181">
      <c r="A181" s="27" t="n"/>
      <c r="B181" s="25" t="n"/>
      <c r="C181" s="26" t="n"/>
      <c r="D181" s="26" t="n"/>
      <c r="E181" s="27" t="n"/>
      <c r="F181" s="26">
        <f>IF(B181="","",C181-D181)</f>
        <v/>
      </c>
      <c r="G181" s="25">
        <f>IF(B181="","",IF(F181&lt;=0,"✅ PAID",IF(D181&gt;0,"🟡 PARTIAL","🔴 LATE")))</f>
        <v/>
      </c>
    </row>
    <row r="182">
      <c r="A182" s="27" t="n"/>
      <c r="B182" s="25" t="n"/>
      <c r="C182" s="26" t="n"/>
      <c r="D182" s="26" t="n"/>
      <c r="E182" s="27" t="n"/>
      <c r="F182" s="26">
        <f>IF(B182="","",C182-D182)</f>
        <v/>
      </c>
      <c r="G182" s="25">
        <f>IF(B182="","",IF(F182&lt;=0,"✅ PAID",IF(D182&gt;0,"🟡 PARTIAL","🔴 LATE")))</f>
        <v/>
      </c>
    </row>
    <row r="183">
      <c r="A183" s="27" t="n"/>
      <c r="B183" s="25" t="n"/>
      <c r="C183" s="26" t="n"/>
      <c r="D183" s="26" t="n"/>
      <c r="E183" s="27" t="n"/>
      <c r="F183" s="26">
        <f>IF(B183="","",C183-D183)</f>
        <v/>
      </c>
      <c r="G183" s="25">
        <f>IF(B183="","",IF(F183&lt;=0,"✅ PAID",IF(D183&gt;0,"🟡 PARTIAL","🔴 LATE")))</f>
        <v/>
      </c>
    </row>
    <row r="184">
      <c r="A184" s="27" t="n"/>
      <c r="B184" s="25" t="n"/>
      <c r="C184" s="26" t="n"/>
      <c r="D184" s="26" t="n"/>
      <c r="E184" s="27" t="n"/>
      <c r="F184" s="26">
        <f>IF(B184="","",C184-D184)</f>
        <v/>
      </c>
      <c r="G184" s="25">
        <f>IF(B184="","",IF(F184&lt;=0,"✅ PAID",IF(D184&gt;0,"🟡 PARTIAL","🔴 LATE")))</f>
        <v/>
      </c>
    </row>
    <row r="185">
      <c r="A185" s="27" t="n"/>
      <c r="B185" s="25" t="n"/>
      <c r="C185" s="26" t="n"/>
      <c r="D185" s="26" t="n"/>
      <c r="E185" s="27" t="n"/>
      <c r="F185" s="26">
        <f>IF(B185="","",C185-D185)</f>
        <v/>
      </c>
      <c r="G185" s="25">
        <f>IF(B185="","",IF(F185&lt;=0,"✅ PAID",IF(D185&gt;0,"🟡 PARTIAL","🔴 LATE")))</f>
        <v/>
      </c>
    </row>
    <row r="186">
      <c r="A186" s="27" t="n"/>
      <c r="B186" s="25" t="n"/>
      <c r="C186" s="26" t="n"/>
      <c r="D186" s="26" t="n"/>
      <c r="E186" s="27" t="n"/>
      <c r="F186" s="26">
        <f>IF(B186="","",C186-D186)</f>
        <v/>
      </c>
      <c r="G186" s="25">
        <f>IF(B186="","",IF(F186&lt;=0,"✅ PAID",IF(D186&gt;0,"🟡 PARTIAL","🔴 LATE")))</f>
        <v/>
      </c>
    </row>
    <row r="187">
      <c r="A187" s="27" t="n"/>
      <c r="B187" s="25" t="n"/>
      <c r="C187" s="26" t="n"/>
      <c r="D187" s="26" t="n"/>
      <c r="E187" s="27" t="n"/>
      <c r="F187" s="26">
        <f>IF(B187="","",C187-D187)</f>
        <v/>
      </c>
      <c r="G187" s="25">
        <f>IF(B187="","",IF(F187&lt;=0,"✅ PAID",IF(D187&gt;0,"🟡 PARTIAL","🔴 LATE")))</f>
        <v/>
      </c>
    </row>
    <row r="188">
      <c r="A188" s="27" t="n"/>
      <c r="B188" s="25" t="n"/>
      <c r="C188" s="26" t="n"/>
      <c r="D188" s="26" t="n"/>
      <c r="E188" s="27" t="n"/>
      <c r="F188" s="26">
        <f>IF(B188="","",C188-D188)</f>
        <v/>
      </c>
      <c r="G188" s="25">
        <f>IF(B188="","",IF(F188&lt;=0,"✅ PAID",IF(D188&gt;0,"🟡 PARTIAL","🔴 LATE")))</f>
        <v/>
      </c>
    </row>
    <row r="189">
      <c r="A189" s="27" t="n"/>
      <c r="B189" s="25" t="n"/>
      <c r="C189" s="26" t="n"/>
      <c r="D189" s="26" t="n"/>
      <c r="E189" s="27" t="n"/>
      <c r="F189" s="26">
        <f>IF(B189="","",C189-D189)</f>
        <v/>
      </c>
      <c r="G189" s="25">
        <f>IF(B189="","",IF(F189&lt;=0,"✅ PAID",IF(D189&gt;0,"🟡 PARTIAL","🔴 LATE")))</f>
        <v/>
      </c>
    </row>
    <row r="190">
      <c r="A190" s="27" t="n"/>
      <c r="B190" s="25" t="n"/>
      <c r="C190" s="26" t="n"/>
      <c r="D190" s="26" t="n"/>
      <c r="E190" s="27" t="n"/>
      <c r="F190" s="26">
        <f>IF(B190="","",C190-D190)</f>
        <v/>
      </c>
      <c r="G190" s="25">
        <f>IF(B190="","",IF(F190&lt;=0,"✅ PAID",IF(D190&gt;0,"🟡 PARTIAL","🔴 LATE")))</f>
        <v/>
      </c>
    </row>
    <row r="191">
      <c r="A191" s="27" t="n"/>
      <c r="B191" s="25" t="n"/>
      <c r="C191" s="26" t="n"/>
      <c r="D191" s="26" t="n"/>
      <c r="E191" s="27" t="n"/>
      <c r="F191" s="26">
        <f>IF(B191="","",C191-D191)</f>
        <v/>
      </c>
      <c r="G191" s="25">
        <f>IF(B191="","",IF(F191&lt;=0,"✅ PAID",IF(D191&gt;0,"🟡 PARTIAL","🔴 LATE")))</f>
        <v/>
      </c>
    </row>
    <row r="192">
      <c r="A192" s="27" t="n"/>
      <c r="B192" s="25" t="n"/>
      <c r="C192" s="26" t="n"/>
      <c r="D192" s="26" t="n"/>
      <c r="E192" s="27" t="n"/>
      <c r="F192" s="26">
        <f>IF(B192="","",C192-D192)</f>
        <v/>
      </c>
      <c r="G192" s="25">
        <f>IF(B192="","",IF(F192&lt;=0,"✅ PAID",IF(D192&gt;0,"🟡 PARTIAL","🔴 LATE")))</f>
        <v/>
      </c>
    </row>
    <row r="193">
      <c r="A193" s="27" t="n"/>
      <c r="B193" s="25" t="n"/>
      <c r="C193" s="26" t="n"/>
      <c r="D193" s="26" t="n"/>
      <c r="E193" s="27" t="n"/>
      <c r="F193" s="26">
        <f>IF(B193="","",C193-D193)</f>
        <v/>
      </c>
      <c r="G193" s="25">
        <f>IF(B193="","",IF(F193&lt;=0,"✅ PAID",IF(D193&gt;0,"🟡 PARTIAL","🔴 LATE")))</f>
        <v/>
      </c>
    </row>
    <row r="194">
      <c r="A194" s="27" t="n"/>
      <c r="B194" s="25" t="n"/>
      <c r="C194" s="26" t="n"/>
      <c r="D194" s="26" t="n"/>
      <c r="E194" s="27" t="n"/>
      <c r="F194" s="26">
        <f>IF(B194="","",C194-D194)</f>
        <v/>
      </c>
      <c r="G194" s="25">
        <f>IF(B194="","",IF(F194&lt;=0,"✅ PAID",IF(D194&gt;0,"🟡 PARTIAL","🔴 LATE")))</f>
        <v/>
      </c>
    </row>
    <row r="195">
      <c r="A195" s="27" t="n"/>
      <c r="B195" s="25" t="n"/>
      <c r="C195" s="26" t="n"/>
      <c r="D195" s="26" t="n"/>
      <c r="E195" s="27" t="n"/>
      <c r="F195" s="26">
        <f>IF(B195="","",C195-D195)</f>
        <v/>
      </c>
      <c r="G195" s="25">
        <f>IF(B195="","",IF(F195&lt;=0,"✅ PAID",IF(D195&gt;0,"🟡 PARTIAL","🔴 LATE")))</f>
        <v/>
      </c>
    </row>
    <row r="196">
      <c r="A196" s="27" t="n"/>
      <c r="B196" s="25" t="n"/>
      <c r="C196" s="26" t="n"/>
      <c r="D196" s="26" t="n"/>
      <c r="E196" s="27" t="n"/>
      <c r="F196" s="26">
        <f>IF(B196="","",C196-D196)</f>
        <v/>
      </c>
      <c r="G196" s="25">
        <f>IF(B196="","",IF(F196&lt;=0,"✅ PAID",IF(D196&gt;0,"🟡 PARTIAL","🔴 LATE")))</f>
        <v/>
      </c>
    </row>
    <row r="197">
      <c r="A197" s="27" t="n"/>
      <c r="B197" s="25" t="n"/>
      <c r="C197" s="26" t="n"/>
      <c r="D197" s="26" t="n"/>
      <c r="E197" s="27" t="n"/>
      <c r="F197" s="26">
        <f>IF(B197="","",C197-D197)</f>
        <v/>
      </c>
      <c r="G197" s="25">
        <f>IF(B197="","",IF(F197&lt;=0,"✅ PAID",IF(D197&gt;0,"🟡 PARTIAL","🔴 LATE")))</f>
        <v/>
      </c>
    </row>
    <row r="198">
      <c r="A198" s="27" t="n"/>
      <c r="B198" s="25" t="n"/>
      <c r="C198" s="26" t="n"/>
      <c r="D198" s="26" t="n"/>
      <c r="E198" s="27" t="n"/>
      <c r="F198" s="26">
        <f>IF(B198="","",C198-D198)</f>
        <v/>
      </c>
      <c r="G198" s="25">
        <f>IF(B198="","",IF(F198&lt;=0,"✅ PAID",IF(D198&gt;0,"🟡 PARTIAL","🔴 LATE")))</f>
        <v/>
      </c>
    </row>
    <row r="199">
      <c r="A199" s="27" t="n"/>
      <c r="B199" s="25" t="n"/>
      <c r="C199" s="26" t="n"/>
      <c r="D199" s="26" t="n"/>
      <c r="E199" s="27" t="n"/>
      <c r="F199" s="26">
        <f>IF(B199="","",C199-D199)</f>
        <v/>
      </c>
      <c r="G199" s="25">
        <f>IF(B199="","",IF(F199&lt;=0,"✅ PAID",IF(D199&gt;0,"🟡 PARTIAL","🔴 LATE")))</f>
        <v/>
      </c>
    </row>
    <row r="200">
      <c r="A200" s="27" t="n"/>
      <c r="B200" s="25" t="n"/>
      <c r="C200" s="26" t="n"/>
      <c r="D200" s="26" t="n"/>
      <c r="E200" s="27" t="n"/>
      <c r="F200" s="26">
        <f>IF(B200="","",C200-D200)</f>
        <v/>
      </c>
      <c r="G200" s="25">
        <f>IF(B200="","",IF(F200&lt;=0,"✅ PAID",IF(D200&gt;0,"🟡 PARTIAL","🔴 LATE")))</f>
        <v/>
      </c>
    </row>
    <row r="201">
      <c r="A201" s="27" t="n"/>
      <c r="B201" s="25" t="n"/>
      <c r="C201" s="26" t="n"/>
      <c r="D201" s="26" t="n"/>
      <c r="E201" s="27" t="n"/>
      <c r="F201" s="26">
        <f>IF(B201="","",C201-D201)</f>
        <v/>
      </c>
      <c r="G201" s="25">
        <f>IF(B201="","",IF(F201&lt;=0,"✅ PAID",IF(D201&gt;0,"🟡 PARTIAL","🔴 LATE")))</f>
        <v/>
      </c>
    </row>
  </sheetData>
  <autoFilter ref="A1:G201"/>
  <conditionalFormatting sqref="G2:G201">
    <cfRule type="expression" priority="1" dxfId="0">
      <formula>$G2="🔴 LATE"</formula>
    </cfRule>
    <cfRule type="expression" priority="2" dxfId="1">
      <formula>$G2="🟡 PARTIAL"</formula>
    </cfRule>
  </conditionalFormatting>
  <dataValidations count="1">
    <dataValidation sqref="B2:B201" showDropDown="0" showInputMessage="0" showErrorMessage="0" allowBlank="1" type="list">
      <formula1>=PROPERTIES!$A$2:$A$201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28" customWidth="1" min="4" max="4"/>
    <col width="13" customWidth="1" min="5" max="5"/>
  </cols>
  <sheetData>
    <row r="1">
      <c r="A1" s="24" t="inlineStr">
        <is>
          <t>Date</t>
        </is>
      </c>
      <c r="B1" s="24" t="inlineStr">
        <is>
          <t>Property</t>
        </is>
      </c>
      <c r="C1" s="24" t="inlineStr">
        <is>
          <t>Category</t>
        </is>
      </c>
      <c r="D1" s="24" t="inlineStr">
        <is>
          <t>Description</t>
        </is>
      </c>
      <c r="E1" s="24" t="inlineStr">
        <is>
          <t>Amount (₱)</t>
        </is>
      </c>
    </row>
    <row r="2">
      <c r="A2" s="27" t="n">
        <v>46238</v>
      </c>
      <c r="B2" s="25" t="inlineStr">
        <is>
          <t>Unit 2A — Maple St.</t>
        </is>
      </c>
      <c r="C2" s="25" t="inlineStr">
        <is>
          <t>Repairs</t>
        </is>
      </c>
      <c r="D2" s="25" t="inlineStr">
        <is>
          <t>Leaky faucet</t>
        </is>
      </c>
      <c r="E2" s="26" t="n">
        <v>850</v>
      </c>
    </row>
    <row r="3">
      <c r="A3" s="27" t="n"/>
      <c r="B3" s="25" t="n"/>
      <c r="C3" s="25" t="n"/>
      <c r="D3" s="25" t="n"/>
      <c r="E3" s="26" t="n"/>
    </row>
    <row r="4">
      <c r="A4" s="27" t="n"/>
      <c r="B4" s="25" t="n"/>
      <c r="C4" s="25" t="n"/>
      <c r="D4" s="25" t="n"/>
      <c r="E4" s="26" t="n"/>
    </row>
    <row r="5">
      <c r="A5" s="27" t="n"/>
      <c r="B5" s="25" t="n"/>
      <c r="C5" s="25" t="n"/>
      <c r="D5" s="25" t="n"/>
      <c r="E5" s="26" t="n"/>
    </row>
    <row r="6">
      <c r="A6" s="27" t="n"/>
      <c r="B6" s="25" t="n"/>
      <c r="C6" s="25" t="n"/>
      <c r="D6" s="25" t="n"/>
      <c r="E6" s="26" t="n"/>
    </row>
    <row r="7">
      <c r="A7" s="27" t="n"/>
      <c r="B7" s="25" t="n"/>
      <c r="C7" s="25" t="n"/>
      <c r="D7" s="25" t="n"/>
      <c r="E7" s="26" t="n"/>
    </row>
    <row r="8">
      <c r="A8" s="27" t="n"/>
      <c r="B8" s="25" t="n"/>
      <c r="C8" s="25" t="n"/>
      <c r="D8" s="25" t="n"/>
      <c r="E8" s="26" t="n"/>
    </row>
    <row r="9">
      <c r="A9" s="27" t="n"/>
      <c r="B9" s="25" t="n"/>
      <c r="C9" s="25" t="n"/>
      <c r="D9" s="25" t="n"/>
      <c r="E9" s="26" t="n"/>
    </row>
    <row r="10">
      <c r="A10" s="27" t="n"/>
      <c r="B10" s="25" t="n"/>
      <c r="C10" s="25" t="n"/>
      <c r="D10" s="25" t="n"/>
      <c r="E10" s="26" t="n"/>
    </row>
    <row r="11">
      <c r="A11" s="27" t="n"/>
      <c r="B11" s="25" t="n"/>
      <c r="C11" s="25" t="n"/>
      <c r="D11" s="25" t="n"/>
      <c r="E11" s="26" t="n"/>
    </row>
    <row r="12">
      <c r="A12" s="27" t="n"/>
      <c r="B12" s="25" t="n"/>
      <c r="C12" s="25" t="n"/>
      <c r="D12" s="25" t="n"/>
      <c r="E12" s="26" t="n"/>
    </row>
    <row r="13">
      <c r="A13" s="27" t="n"/>
      <c r="B13" s="25" t="n"/>
      <c r="C13" s="25" t="n"/>
      <c r="D13" s="25" t="n"/>
      <c r="E13" s="26" t="n"/>
    </row>
    <row r="14">
      <c r="A14" s="27" t="n"/>
      <c r="B14" s="25" t="n"/>
      <c r="C14" s="25" t="n"/>
      <c r="D14" s="25" t="n"/>
      <c r="E14" s="26" t="n"/>
    </row>
    <row r="15">
      <c r="A15" s="27" t="n"/>
      <c r="B15" s="25" t="n"/>
      <c r="C15" s="25" t="n"/>
      <c r="D15" s="25" t="n"/>
      <c r="E15" s="26" t="n"/>
    </row>
    <row r="16">
      <c r="A16" s="27" t="n"/>
      <c r="B16" s="25" t="n"/>
      <c r="C16" s="25" t="n"/>
      <c r="D16" s="25" t="n"/>
      <c r="E16" s="26" t="n"/>
    </row>
    <row r="17">
      <c r="A17" s="27" t="n"/>
      <c r="B17" s="25" t="n"/>
      <c r="C17" s="25" t="n"/>
      <c r="D17" s="25" t="n"/>
      <c r="E17" s="26" t="n"/>
    </row>
    <row r="18">
      <c r="A18" s="27" t="n"/>
      <c r="B18" s="25" t="n"/>
      <c r="C18" s="25" t="n"/>
      <c r="D18" s="25" t="n"/>
      <c r="E18" s="26" t="n"/>
    </row>
    <row r="19">
      <c r="A19" s="27" t="n"/>
      <c r="B19" s="25" t="n"/>
      <c r="C19" s="25" t="n"/>
      <c r="D19" s="25" t="n"/>
      <c r="E19" s="26" t="n"/>
    </row>
    <row r="20">
      <c r="A20" s="27" t="n"/>
      <c r="B20" s="25" t="n"/>
      <c r="C20" s="25" t="n"/>
      <c r="D20" s="25" t="n"/>
      <c r="E20" s="26" t="n"/>
    </row>
    <row r="21">
      <c r="A21" s="27" t="n"/>
      <c r="B21" s="25" t="n"/>
      <c r="C21" s="25" t="n"/>
      <c r="D21" s="25" t="n"/>
      <c r="E21" s="26" t="n"/>
    </row>
    <row r="22">
      <c r="A22" s="27" t="n"/>
      <c r="B22" s="25" t="n"/>
      <c r="C22" s="25" t="n"/>
      <c r="D22" s="25" t="n"/>
      <c r="E22" s="26" t="n"/>
    </row>
    <row r="23">
      <c r="A23" s="27" t="n"/>
      <c r="B23" s="25" t="n"/>
      <c r="C23" s="25" t="n"/>
      <c r="D23" s="25" t="n"/>
      <c r="E23" s="26" t="n"/>
    </row>
    <row r="24">
      <c r="A24" s="27" t="n"/>
      <c r="B24" s="25" t="n"/>
      <c r="C24" s="25" t="n"/>
      <c r="D24" s="25" t="n"/>
      <c r="E24" s="26" t="n"/>
    </row>
    <row r="25">
      <c r="A25" s="27" t="n"/>
      <c r="B25" s="25" t="n"/>
      <c r="C25" s="25" t="n"/>
      <c r="D25" s="25" t="n"/>
      <c r="E25" s="26" t="n"/>
    </row>
    <row r="26">
      <c r="A26" s="27" t="n"/>
      <c r="B26" s="25" t="n"/>
      <c r="C26" s="25" t="n"/>
      <c r="D26" s="25" t="n"/>
      <c r="E26" s="26" t="n"/>
    </row>
    <row r="27">
      <c r="A27" s="27" t="n"/>
      <c r="B27" s="25" t="n"/>
      <c r="C27" s="25" t="n"/>
      <c r="D27" s="25" t="n"/>
      <c r="E27" s="26" t="n"/>
    </row>
    <row r="28">
      <c r="A28" s="27" t="n"/>
      <c r="B28" s="25" t="n"/>
      <c r="C28" s="25" t="n"/>
      <c r="D28" s="25" t="n"/>
      <c r="E28" s="26" t="n"/>
    </row>
    <row r="29">
      <c r="A29" s="27" t="n"/>
      <c r="B29" s="25" t="n"/>
      <c r="C29" s="25" t="n"/>
      <c r="D29" s="25" t="n"/>
      <c r="E29" s="26" t="n"/>
    </row>
    <row r="30">
      <c r="A30" s="27" t="n"/>
      <c r="B30" s="25" t="n"/>
      <c r="C30" s="25" t="n"/>
      <c r="D30" s="25" t="n"/>
      <c r="E30" s="26" t="n"/>
    </row>
    <row r="31">
      <c r="A31" s="27" t="n"/>
      <c r="B31" s="25" t="n"/>
      <c r="C31" s="25" t="n"/>
      <c r="D31" s="25" t="n"/>
      <c r="E31" s="26" t="n"/>
    </row>
    <row r="32">
      <c r="A32" s="27" t="n"/>
      <c r="B32" s="25" t="n"/>
      <c r="C32" s="25" t="n"/>
      <c r="D32" s="25" t="n"/>
      <c r="E32" s="26" t="n"/>
    </row>
    <row r="33">
      <c r="A33" s="27" t="n"/>
      <c r="B33" s="25" t="n"/>
      <c r="C33" s="25" t="n"/>
      <c r="D33" s="25" t="n"/>
      <c r="E33" s="26" t="n"/>
    </row>
    <row r="34">
      <c r="A34" s="27" t="n"/>
      <c r="B34" s="25" t="n"/>
      <c r="C34" s="25" t="n"/>
      <c r="D34" s="25" t="n"/>
      <c r="E34" s="26" t="n"/>
    </row>
    <row r="35">
      <c r="A35" s="27" t="n"/>
      <c r="B35" s="25" t="n"/>
      <c r="C35" s="25" t="n"/>
      <c r="D35" s="25" t="n"/>
      <c r="E35" s="26" t="n"/>
    </row>
    <row r="36">
      <c r="A36" s="27" t="n"/>
      <c r="B36" s="25" t="n"/>
      <c r="C36" s="25" t="n"/>
      <c r="D36" s="25" t="n"/>
      <c r="E36" s="26" t="n"/>
    </row>
    <row r="37">
      <c r="A37" s="27" t="n"/>
      <c r="B37" s="25" t="n"/>
      <c r="C37" s="25" t="n"/>
      <c r="D37" s="25" t="n"/>
      <c r="E37" s="26" t="n"/>
    </row>
    <row r="38">
      <c r="A38" s="27" t="n"/>
      <c r="B38" s="25" t="n"/>
      <c r="C38" s="25" t="n"/>
      <c r="D38" s="25" t="n"/>
      <c r="E38" s="26" t="n"/>
    </row>
    <row r="39">
      <c r="A39" s="27" t="n"/>
      <c r="B39" s="25" t="n"/>
      <c r="C39" s="25" t="n"/>
      <c r="D39" s="25" t="n"/>
      <c r="E39" s="26" t="n"/>
    </row>
    <row r="40">
      <c r="A40" s="27" t="n"/>
      <c r="B40" s="25" t="n"/>
      <c r="C40" s="25" t="n"/>
      <c r="D40" s="25" t="n"/>
      <c r="E40" s="26" t="n"/>
    </row>
    <row r="41">
      <c r="A41" s="27" t="n"/>
      <c r="B41" s="25" t="n"/>
      <c r="C41" s="25" t="n"/>
      <c r="D41" s="25" t="n"/>
      <c r="E41" s="26" t="n"/>
    </row>
    <row r="42">
      <c r="A42" s="27" t="n"/>
      <c r="B42" s="25" t="n"/>
      <c r="C42" s="25" t="n"/>
      <c r="D42" s="25" t="n"/>
      <c r="E42" s="26" t="n"/>
    </row>
    <row r="43">
      <c r="A43" s="27" t="n"/>
      <c r="B43" s="25" t="n"/>
      <c r="C43" s="25" t="n"/>
      <c r="D43" s="25" t="n"/>
      <c r="E43" s="26" t="n"/>
    </row>
    <row r="44">
      <c r="A44" s="27" t="n"/>
      <c r="B44" s="25" t="n"/>
      <c r="C44" s="25" t="n"/>
      <c r="D44" s="25" t="n"/>
      <c r="E44" s="26" t="n"/>
    </row>
    <row r="45">
      <c r="A45" s="27" t="n"/>
      <c r="B45" s="25" t="n"/>
      <c r="C45" s="25" t="n"/>
      <c r="D45" s="25" t="n"/>
      <c r="E45" s="26" t="n"/>
    </row>
    <row r="46">
      <c r="A46" s="27" t="n"/>
      <c r="B46" s="25" t="n"/>
      <c r="C46" s="25" t="n"/>
      <c r="D46" s="25" t="n"/>
      <c r="E46" s="26" t="n"/>
    </row>
    <row r="47">
      <c r="A47" s="27" t="n"/>
      <c r="B47" s="25" t="n"/>
      <c r="C47" s="25" t="n"/>
      <c r="D47" s="25" t="n"/>
      <c r="E47" s="26" t="n"/>
    </row>
    <row r="48">
      <c r="A48" s="27" t="n"/>
      <c r="B48" s="25" t="n"/>
      <c r="C48" s="25" t="n"/>
      <c r="D48" s="25" t="n"/>
      <c r="E48" s="26" t="n"/>
    </row>
    <row r="49">
      <c r="A49" s="27" t="n"/>
      <c r="B49" s="25" t="n"/>
      <c r="C49" s="25" t="n"/>
      <c r="D49" s="25" t="n"/>
      <c r="E49" s="26" t="n"/>
    </row>
    <row r="50">
      <c r="A50" s="27" t="n"/>
      <c r="B50" s="25" t="n"/>
      <c r="C50" s="25" t="n"/>
      <c r="D50" s="25" t="n"/>
      <c r="E50" s="26" t="n"/>
    </row>
    <row r="51">
      <c r="A51" s="27" t="n"/>
      <c r="B51" s="25" t="n"/>
      <c r="C51" s="25" t="n"/>
      <c r="D51" s="25" t="n"/>
      <c r="E51" s="26" t="n"/>
    </row>
    <row r="52">
      <c r="A52" s="27" t="n"/>
      <c r="B52" s="25" t="n"/>
      <c r="C52" s="25" t="n"/>
      <c r="D52" s="25" t="n"/>
      <c r="E52" s="26" t="n"/>
    </row>
    <row r="53">
      <c r="A53" s="27" t="n"/>
      <c r="B53" s="25" t="n"/>
      <c r="C53" s="25" t="n"/>
      <c r="D53" s="25" t="n"/>
      <c r="E53" s="26" t="n"/>
    </row>
    <row r="54">
      <c r="A54" s="27" t="n"/>
      <c r="B54" s="25" t="n"/>
      <c r="C54" s="25" t="n"/>
      <c r="D54" s="25" t="n"/>
      <c r="E54" s="26" t="n"/>
    </row>
    <row r="55">
      <c r="A55" s="27" t="n"/>
      <c r="B55" s="25" t="n"/>
      <c r="C55" s="25" t="n"/>
      <c r="D55" s="25" t="n"/>
      <c r="E55" s="26" t="n"/>
    </row>
    <row r="56">
      <c r="A56" s="27" t="n"/>
      <c r="B56" s="25" t="n"/>
      <c r="C56" s="25" t="n"/>
      <c r="D56" s="25" t="n"/>
      <c r="E56" s="26" t="n"/>
    </row>
    <row r="57">
      <c r="A57" s="27" t="n"/>
      <c r="B57" s="25" t="n"/>
      <c r="C57" s="25" t="n"/>
      <c r="D57" s="25" t="n"/>
      <c r="E57" s="26" t="n"/>
    </row>
    <row r="58">
      <c r="A58" s="27" t="n"/>
      <c r="B58" s="25" t="n"/>
      <c r="C58" s="25" t="n"/>
      <c r="D58" s="25" t="n"/>
      <c r="E58" s="26" t="n"/>
    </row>
    <row r="59">
      <c r="A59" s="27" t="n"/>
      <c r="B59" s="25" t="n"/>
      <c r="C59" s="25" t="n"/>
      <c r="D59" s="25" t="n"/>
      <c r="E59" s="26" t="n"/>
    </row>
    <row r="60">
      <c r="A60" s="27" t="n"/>
      <c r="B60" s="25" t="n"/>
      <c r="C60" s="25" t="n"/>
      <c r="D60" s="25" t="n"/>
      <c r="E60" s="26" t="n"/>
    </row>
    <row r="61">
      <c r="A61" s="27" t="n"/>
      <c r="B61" s="25" t="n"/>
      <c r="C61" s="25" t="n"/>
      <c r="D61" s="25" t="n"/>
      <c r="E61" s="26" t="n"/>
    </row>
    <row r="62">
      <c r="A62" s="27" t="n"/>
      <c r="B62" s="25" t="n"/>
      <c r="C62" s="25" t="n"/>
      <c r="D62" s="25" t="n"/>
      <c r="E62" s="26" t="n"/>
    </row>
    <row r="63">
      <c r="A63" s="27" t="n"/>
      <c r="B63" s="25" t="n"/>
      <c r="C63" s="25" t="n"/>
      <c r="D63" s="25" t="n"/>
      <c r="E63" s="26" t="n"/>
    </row>
    <row r="64">
      <c r="A64" s="27" t="n"/>
      <c r="B64" s="25" t="n"/>
      <c r="C64" s="25" t="n"/>
      <c r="D64" s="25" t="n"/>
      <c r="E64" s="26" t="n"/>
    </row>
    <row r="65">
      <c r="A65" s="27" t="n"/>
      <c r="B65" s="25" t="n"/>
      <c r="C65" s="25" t="n"/>
      <c r="D65" s="25" t="n"/>
      <c r="E65" s="26" t="n"/>
    </row>
    <row r="66">
      <c r="A66" s="27" t="n"/>
      <c r="B66" s="25" t="n"/>
      <c r="C66" s="25" t="n"/>
      <c r="D66" s="25" t="n"/>
      <c r="E66" s="26" t="n"/>
    </row>
    <row r="67">
      <c r="A67" s="27" t="n"/>
      <c r="B67" s="25" t="n"/>
      <c r="C67" s="25" t="n"/>
      <c r="D67" s="25" t="n"/>
      <c r="E67" s="26" t="n"/>
    </row>
    <row r="68">
      <c r="A68" s="27" t="n"/>
      <c r="B68" s="25" t="n"/>
      <c r="C68" s="25" t="n"/>
      <c r="D68" s="25" t="n"/>
      <c r="E68" s="26" t="n"/>
    </row>
    <row r="69">
      <c r="A69" s="27" t="n"/>
      <c r="B69" s="25" t="n"/>
      <c r="C69" s="25" t="n"/>
      <c r="D69" s="25" t="n"/>
      <c r="E69" s="26" t="n"/>
    </row>
    <row r="70">
      <c r="A70" s="27" t="n"/>
      <c r="B70" s="25" t="n"/>
      <c r="C70" s="25" t="n"/>
      <c r="D70" s="25" t="n"/>
      <c r="E70" s="26" t="n"/>
    </row>
    <row r="71">
      <c r="A71" s="27" t="n"/>
      <c r="B71" s="25" t="n"/>
      <c r="C71" s="25" t="n"/>
      <c r="D71" s="25" t="n"/>
      <c r="E71" s="26" t="n"/>
    </row>
    <row r="72">
      <c r="A72" s="27" t="n"/>
      <c r="B72" s="25" t="n"/>
      <c r="C72" s="25" t="n"/>
      <c r="D72" s="25" t="n"/>
      <c r="E72" s="26" t="n"/>
    </row>
    <row r="73">
      <c r="A73" s="27" t="n"/>
      <c r="B73" s="25" t="n"/>
      <c r="C73" s="25" t="n"/>
      <c r="D73" s="25" t="n"/>
      <c r="E73" s="26" t="n"/>
    </row>
    <row r="74">
      <c r="A74" s="27" t="n"/>
      <c r="B74" s="25" t="n"/>
      <c r="C74" s="25" t="n"/>
      <c r="D74" s="25" t="n"/>
      <c r="E74" s="26" t="n"/>
    </row>
    <row r="75">
      <c r="A75" s="27" t="n"/>
      <c r="B75" s="25" t="n"/>
      <c r="C75" s="25" t="n"/>
      <c r="D75" s="25" t="n"/>
      <c r="E75" s="26" t="n"/>
    </row>
    <row r="76">
      <c r="A76" s="27" t="n"/>
      <c r="B76" s="25" t="n"/>
      <c r="C76" s="25" t="n"/>
      <c r="D76" s="25" t="n"/>
      <c r="E76" s="26" t="n"/>
    </row>
    <row r="77">
      <c r="A77" s="27" t="n"/>
      <c r="B77" s="25" t="n"/>
      <c r="C77" s="25" t="n"/>
      <c r="D77" s="25" t="n"/>
      <c r="E77" s="26" t="n"/>
    </row>
    <row r="78">
      <c r="A78" s="27" t="n"/>
      <c r="B78" s="25" t="n"/>
      <c r="C78" s="25" t="n"/>
      <c r="D78" s="25" t="n"/>
      <c r="E78" s="26" t="n"/>
    </row>
    <row r="79">
      <c r="A79" s="27" t="n"/>
      <c r="B79" s="25" t="n"/>
      <c r="C79" s="25" t="n"/>
      <c r="D79" s="25" t="n"/>
      <c r="E79" s="26" t="n"/>
    </row>
    <row r="80">
      <c r="A80" s="27" t="n"/>
      <c r="B80" s="25" t="n"/>
      <c r="C80" s="25" t="n"/>
      <c r="D80" s="25" t="n"/>
      <c r="E80" s="26" t="n"/>
    </row>
    <row r="81">
      <c r="A81" s="27" t="n"/>
      <c r="B81" s="25" t="n"/>
      <c r="C81" s="25" t="n"/>
      <c r="D81" s="25" t="n"/>
      <c r="E81" s="26" t="n"/>
    </row>
    <row r="82">
      <c r="A82" s="27" t="n"/>
      <c r="B82" s="25" t="n"/>
      <c r="C82" s="25" t="n"/>
      <c r="D82" s="25" t="n"/>
      <c r="E82" s="26" t="n"/>
    </row>
    <row r="83">
      <c r="A83" s="27" t="n"/>
      <c r="B83" s="25" t="n"/>
      <c r="C83" s="25" t="n"/>
      <c r="D83" s="25" t="n"/>
      <c r="E83" s="26" t="n"/>
    </row>
    <row r="84">
      <c r="A84" s="27" t="n"/>
      <c r="B84" s="25" t="n"/>
      <c r="C84" s="25" t="n"/>
      <c r="D84" s="25" t="n"/>
      <c r="E84" s="26" t="n"/>
    </row>
    <row r="85">
      <c r="A85" s="27" t="n"/>
      <c r="B85" s="25" t="n"/>
      <c r="C85" s="25" t="n"/>
      <c r="D85" s="25" t="n"/>
      <c r="E85" s="26" t="n"/>
    </row>
    <row r="86">
      <c r="A86" s="27" t="n"/>
      <c r="B86" s="25" t="n"/>
      <c r="C86" s="25" t="n"/>
      <c r="D86" s="25" t="n"/>
      <c r="E86" s="26" t="n"/>
    </row>
    <row r="87">
      <c r="A87" s="27" t="n"/>
      <c r="B87" s="25" t="n"/>
      <c r="C87" s="25" t="n"/>
      <c r="D87" s="25" t="n"/>
      <c r="E87" s="26" t="n"/>
    </row>
    <row r="88">
      <c r="A88" s="27" t="n"/>
      <c r="B88" s="25" t="n"/>
      <c r="C88" s="25" t="n"/>
      <c r="D88" s="25" t="n"/>
      <c r="E88" s="26" t="n"/>
    </row>
    <row r="89">
      <c r="A89" s="27" t="n"/>
      <c r="B89" s="25" t="n"/>
      <c r="C89" s="25" t="n"/>
      <c r="D89" s="25" t="n"/>
      <c r="E89" s="26" t="n"/>
    </row>
    <row r="90">
      <c r="A90" s="27" t="n"/>
      <c r="B90" s="25" t="n"/>
      <c r="C90" s="25" t="n"/>
      <c r="D90" s="25" t="n"/>
      <c r="E90" s="26" t="n"/>
    </row>
    <row r="91">
      <c r="A91" s="27" t="n"/>
      <c r="B91" s="25" t="n"/>
      <c r="C91" s="25" t="n"/>
      <c r="D91" s="25" t="n"/>
      <c r="E91" s="26" t="n"/>
    </row>
    <row r="92">
      <c r="A92" s="27" t="n"/>
      <c r="B92" s="25" t="n"/>
      <c r="C92" s="25" t="n"/>
      <c r="D92" s="25" t="n"/>
      <c r="E92" s="26" t="n"/>
    </row>
    <row r="93">
      <c r="A93" s="27" t="n"/>
      <c r="B93" s="25" t="n"/>
      <c r="C93" s="25" t="n"/>
      <c r="D93" s="25" t="n"/>
      <c r="E93" s="26" t="n"/>
    </row>
    <row r="94">
      <c r="A94" s="27" t="n"/>
      <c r="B94" s="25" t="n"/>
      <c r="C94" s="25" t="n"/>
      <c r="D94" s="25" t="n"/>
      <c r="E94" s="26" t="n"/>
    </row>
    <row r="95">
      <c r="A95" s="27" t="n"/>
      <c r="B95" s="25" t="n"/>
      <c r="C95" s="25" t="n"/>
      <c r="D95" s="25" t="n"/>
      <c r="E95" s="26" t="n"/>
    </row>
    <row r="96">
      <c r="A96" s="27" t="n"/>
      <c r="B96" s="25" t="n"/>
      <c r="C96" s="25" t="n"/>
      <c r="D96" s="25" t="n"/>
      <c r="E96" s="26" t="n"/>
    </row>
    <row r="97">
      <c r="A97" s="27" t="n"/>
      <c r="B97" s="25" t="n"/>
      <c r="C97" s="25" t="n"/>
      <c r="D97" s="25" t="n"/>
      <c r="E97" s="26" t="n"/>
    </row>
    <row r="98">
      <c r="A98" s="27" t="n"/>
      <c r="B98" s="25" t="n"/>
      <c r="C98" s="25" t="n"/>
      <c r="D98" s="25" t="n"/>
      <c r="E98" s="26" t="n"/>
    </row>
    <row r="99">
      <c r="A99" s="27" t="n"/>
      <c r="B99" s="25" t="n"/>
      <c r="C99" s="25" t="n"/>
      <c r="D99" s="25" t="n"/>
      <c r="E99" s="26" t="n"/>
    </row>
    <row r="100">
      <c r="A100" s="27" t="n"/>
      <c r="B100" s="25" t="n"/>
      <c r="C100" s="25" t="n"/>
      <c r="D100" s="25" t="n"/>
      <c r="E100" s="26" t="n"/>
    </row>
    <row r="101">
      <c r="A101" s="27" t="n"/>
      <c r="B101" s="25" t="n"/>
      <c r="C101" s="25" t="n"/>
      <c r="D101" s="25" t="n"/>
      <c r="E101" s="26" t="n"/>
    </row>
    <row r="102">
      <c r="A102" s="27" t="n"/>
      <c r="B102" s="25" t="n"/>
      <c r="C102" s="25" t="n"/>
      <c r="D102" s="25" t="n"/>
      <c r="E102" s="26" t="n"/>
    </row>
    <row r="103">
      <c r="A103" s="27" t="n"/>
      <c r="B103" s="25" t="n"/>
      <c r="C103" s="25" t="n"/>
      <c r="D103" s="25" t="n"/>
      <c r="E103" s="26" t="n"/>
    </row>
    <row r="104">
      <c r="A104" s="27" t="n"/>
      <c r="B104" s="25" t="n"/>
      <c r="C104" s="25" t="n"/>
      <c r="D104" s="25" t="n"/>
      <c r="E104" s="26" t="n"/>
    </row>
    <row r="105">
      <c r="A105" s="27" t="n"/>
      <c r="B105" s="25" t="n"/>
      <c r="C105" s="25" t="n"/>
      <c r="D105" s="25" t="n"/>
      <c r="E105" s="26" t="n"/>
    </row>
    <row r="106">
      <c r="A106" s="27" t="n"/>
      <c r="B106" s="25" t="n"/>
      <c r="C106" s="25" t="n"/>
      <c r="D106" s="25" t="n"/>
      <c r="E106" s="26" t="n"/>
    </row>
    <row r="107">
      <c r="A107" s="27" t="n"/>
      <c r="B107" s="25" t="n"/>
      <c r="C107" s="25" t="n"/>
      <c r="D107" s="25" t="n"/>
      <c r="E107" s="26" t="n"/>
    </row>
    <row r="108">
      <c r="A108" s="27" t="n"/>
      <c r="B108" s="25" t="n"/>
      <c r="C108" s="25" t="n"/>
      <c r="D108" s="25" t="n"/>
      <c r="E108" s="26" t="n"/>
    </row>
    <row r="109">
      <c r="A109" s="27" t="n"/>
      <c r="B109" s="25" t="n"/>
      <c r="C109" s="25" t="n"/>
      <c r="D109" s="25" t="n"/>
      <c r="E109" s="26" t="n"/>
    </row>
    <row r="110">
      <c r="A110" s="27" t="n"/>
      <c r="B110" s="25" t="n"/>
      <c r="C110" s="25" t="n"/>
      <c r="D110" s="25" t="n"/>
      <c r="E110" s="26" t="n"/>
    </row>
    <row r="111">
      <c r="A111" s="27" t="n"/>
      <c r="B111" s="25" t="n"/>
      <c r="C111" s="25" t="n"/>
      <c r="D111" s="25" t="n"/>
      <c r="E111" s="26" t="n"/>
    </row>
    <row r="112">
      <c r="A112" s="27" t="n"/>
      <c r="B112" s="25" t="n"/>
      <c r="C112" s="25" t="n"/>
      <c r="D112" s="25" t="n"/>
      <c r="E112" s="26" t="n"/>
    </row>
    <row r="113">
      <c r="A113" s="27" t="n"/>
      <c r="B113" s="25" t="n"/>
      <c r="C113" s="25" t="n"/>
      <c r="D113" s="25" t="n"/>
      <c r="E113" s="26" t="n"/>
    </row>
    <row r="114">
      <c r="A114" s="27" t="n"/>
      <c r="B114" s="25" t="n"/>
      <c r="C114" s="25" t="n"/>
      <c r="D114" s="25" t="n"/>
      <c r="E114" s="26" t="n"/>
    </row>
    <row r="115">
      <c r="A115" s="27" t="n"/>
      <c r="B115" s="25" t="n"/>
      <c r="C115" s="25" t="n"/>
      <c r="D115" s="25" t="n"/>
      <c r="E115" s="26" t="n"/>
    </row>
    <row r="116">
      <c r="A116" s="27" t="n"/>
      <c r="B116" s="25" t="n"/>
      <c r="C116" s="25" t="n"/>
      <c r="D116" s="25" t="n"/>
      <c r="E116" s="26" t="n"/>
    </row>
    <row r="117">
      <c r="A117" s="27" t="n"/>
      <c r="B117" s="25" t="n"/>
      <c r="C117" s="25" t="n"/>
      <c r="D117" s="25" t="n"/>
      <c r="E117" s="26" t="n"/>
    </row>
    <row r="118">
      <c r="A118" s="27" t="n"/>
      <c r="B118" s="25" t="n"/>
      <c r="C118" s="25" t="n"/>
      <c r="D118" s="25" t="n"/>
      <c r="E118" s="26" t="n"/>
    </row>
    <row r="119">
      <c r="A119" s="27" t="n"/>
      <c r="B119" s="25" t="n"/>
      <c r="C119" s="25" t="n"/>
      <c r="D119" s="25" t="n"/>
      <c r="E119" s="26" t="n"/>
    </row>
    <row r="120">
      <c r="A120" s="27" t="n"/>
      <c r="B120" s="25" t="n"/>
      <c r="C120" s="25" t="n"/>
      <c r="D120" s="25" t="n"/>
      <c r="E120" s="26" t="n"/>
    </row>
    <row r="121">
      <c r="A121" s="27" t="n"/>
      <c r="B121" s="25" t="n"/>
      <c r="C121" s="25" t="n"/>
      <c r="D121" s="25" t="n"/>
      <c r="E121" s="26" t="n"/>
    </row>
    <row r="122">
      <c r="A122" s="27" t="n"/>
      <c r="B122" s="25" t="n"/>
      <c r="C122" s="25" t="n"/>
      <c r="D122" s="25" t="n"/>
      <c r="E122" s="26" t="n"/>
    </row>
    <row r="123">
      <c r="A123" s="27" t="n"/>
      <c r="B123" s="25" t="n"/>
      <c r="C123" s="25" t="n"/>
      <c r="D123" s="25" t="n"/>
      <c r="E123" s="26" t="n"/>
    </row>
    <row r="124">
      <c r="A124" s="27" t="n"/>
      <c r="B124" s="25" t="n"/>
      <c r="C124" s="25" t="n"/>
      <c r="D124" s="25" t="n"/>
      <c r="E124" s="26" t="n"/>
    </row>
    <row r="125">
      <c r="A125" s="27" t="n"/>
      <c r="B125" s="25" t="n"/>
      <c r="C125" s="25" t="n"/>
      <c r="D125" s="25" t="n"/>
      <c r="E125" s="26" t="n"/>
    </row>
    <row r="126">
      <c r="A126" s="27" t="n"/>
      <c r="B126" s="25" t="n"/>
      <c r="C126" s="25" t="n"/>
      <c r="D126" s="25" t="n"/>
      <c r="E126" s="26" t="n"/>
    </row>
    <row r="127">
      <c r="A127" s="27" t="n"/>
      <c r="B127" s="25" t="n"/>
      <c r="C127" s="25" t="n"/>
      <c r="D127" s="25" t="n"/>
      <c r="E127" s="26" t="n"/>
    </row>
    <row r="128">
      <c r="A128" s="27" t="n"/>
      <c r="B128" s="25" t="n"/>
      <c r="C128" s="25" t="n"/>
      <c r="D128" s="25" t="n"/>
      <c r="E128" s="26" t="n"/>
    </row>
    <row r="129">
      <c r="A129" s="27" t="n"/>
      <c r="B129" s="25" t="n"/>
      <c r="C129" s="25" t="n"/>
      <c r="D129" s="25" t="n"/>
      <c r="E129" s="26" t="n"/>
    </row>
    <row r="130">
      <c r="A130" s="27" t="n"/>
      <c r="B130" s="25" t="n"/>
      <c r="C130" s="25" t="n"/>
      <c r="D130" s="25" t="n"/>
      <c r="E130" s="26" t="n"/>
    </row>
    <row r="131">
      <c r="A131" s="27" t="n"/>
      <c r="B131" s="25" t="n"/>
      <c r="C131" s="25" t="n"/>
      <c r="D131" s="25" t="n"/>
      <c r="E131" s="26" t="n"/>
    </row>
    <row r="132">
      <c r="A132" s="27" t="n"/>
      <c r="B132" s="25" t="n"/>
      <c r="C132" s="25" t="n"/>
      <c r="D132" s="25" t="n"/>
      <c r="E132" s="26" t="n"/>
    </row>
    <row r="133">
      <c r="A133" s="27" t="n"/>
      <c r="B133" s="25" t="n"/>
      <c r="C133" s="25" t="n"/>
      <c r="D133" s="25" t="n"/>
      <c r="E133" s="26" t="n"/>
    </row>
    <row r="134">
      <c r="A134" s="27" t="n"/>
      <c r="B134" s="25" t="n"/>
      <c r="C134" s="25" t="n"/>
      <c r="D134" s="25" t="n"/>
      <c r="E134" s="26" t="n"/>
    </row>
    <row r="135">
      <c r="A135" s="27" t="n"/>
      <c r="B135" s="25" t="n"/>
      <c r="C135" s="25" t="n"/>
      <c r="D135" s="25" t="n"/>
      <c r="E135" s="26" t="n"/>
    </row>
    <row r="136">
      <c r="A136" s="27" t="n"/>
      <c r="B136" s="25" t="n"/>
      <c r="C136" s="25" t="n"/>
      <c r="D136" s="25" t="n"/>
      <c r="E136" s="26" t="n"/>
    </row>
    <row r="137">
      <c r="A137" s="27" t="n"/>
      <c r="B137" s="25" t="n"/>
      <c r="C137" s="25" t="n"/>
      <c r="D137" s="25" t="n"/>
      <c r="E137" s="26" t="n"/>
    </row>
    <row r="138">
      <c r="A138" s="27" t="n"/>
      <c r="B138" s="25" t="n"/>
      <c r="C138" s="25" t="n"/>
      <c r="D138" s="25" t="n"/>
      <c r="E138" s="26" t="n"/>
    </row>
    <row r="139">
      <c r="A139" s="27" t="n"/>
      <c r="B139" s="25" t="n"/>
      <c r="C139" s="25" t="n"/>
      <c r="D139" s="25" t="n"/>
      <c r="E139" s="26" t="n"/>
    </row>
    <row r="140">
      <c r="A140" s="27" t="n"/>
      <c r="B140" s="25" t="n"/>
      <c r="C140" s="25" t="n"/>
      <c r="D140" s="25" t="n"/>
      <c r="E140" s="26" t="n"/>
    </row>
    <row r="141">
      <c r="A141" s="27" t="n"/>
      <c r="B141" s="25" t="n"/>
      <c r="C141" s="25" t="n"/>
      <c r="D141" s="25" t="n"/>
      <c r="E141" s="26" t="n"/>
    </row>
    <row r="142">
      <c r="A142" s="27" t="n"/>
      <c r="B142" s="25" t="n"/>
      <c r="C142" s="25" t="n"/>
      <c r="D142" s="25" t="n"/>
      <c r="E142" s="26" t="n"/>
    </row>
    <row r="143">
      <c r="A143" s="27" t="n"/>
      <c r="B143" s="25" t="n"/>
      <c r="C143" s="25" t="n"/>
      <c r="D143" s="25" t="n"/>
      <c r="E143" s="26" t="n"/>
    </row>
    <row r="144">
      <c r="A144" s="27" t="n"/>
      <c r="B144" s="25" t="n"/>
      <c r="C144" s="25" t="n"/>
      <c r="D144" s="25" t="n"/>
      <c r="E144" s="26" t="n"/>
    </row>
    <row r="145">
      <c r="A145" s="27" t="n"/>
      <c r="B145" s="25" t="n"/>
      <c r="C145" s="25" t="n"/>
      <c r="D145" s="25" t="n"/>
      <c r="E145" s="26" t="n"/>
    </row>
    <row r="146">
      <c r="A146" s="27" t="n"/>
      <c r="B146" s="25" t="n"/>
      <c r="C146" s="25" t="n"/>
      <c r="D146" s="25" t="n"/>
      <c r="E146" s="26" t="n"/>
    </row>
    <row r="147">
      <c r="A147" s="27" t="n"/>
      <c r="B147" s="25" t="n"/>
      <c r="C147" s="25" t="n"/>
      <c r="D147" s="25" t="n"/>
      <c r="E147" s="26" t="n"/>
    </row>
    <row r="148">
      <c r="A148" s="27" t="n"/>
      <c r="B148" s="25" t="n"/>
      <c r="C148" s="25" t="n"/>
      <c r="D148" s="25" t="n"/>
      <c r="E148" s="26" t="n"/>
    </row>
    <row r="149">
      <c r="A149" s="27" t="n"/>
      <c r="B149" s="25" t="n"/>
      <c r="C149" s="25" t="n"/>
      <c r="D149" s="25" t="n"/>
      <c r="E149" s="26" t="n"/>
    </row>
    <row r="150">
      <c r="A150" s="27" t="n"/>
      <c r="B150" s="25" t="n"/>
      <c r="C150" s="25" t="n"/>
      <c r="D150" s="25" t="n"/>
      <c r="E150" s="26" t="n"/>
    </row>
    <row r="151">
      <c r="A151" s="27" t="n"/>
      <c r="B151" s="25" t="n"/>
      <c r="C151" s="25" t="n"/>
      <c r="D151" s="25" t="n"/>
      <c r="E151" s="26" t="n"/>
    </row>
    <row r="152">
      <c r="A152" s="27" t="n"/>
      <c r="B152" s="25" t="n"/>
      <c r="C152" s="25" t="n"/>
      <c r="D152" s="25" t="n"/>
      <c r="E152" s="26" t="n"/>
    </row>
    <row r="153">
      <c r="A153" s="27" t="n"/>
      <c r="B153" s="25" t="n"/>
      <c r="C153" s="25" t="n"/>
      <c r="D153" s="25" t="n"/>
      <c r="E153" s="26" t="n"/>
    </row>
    <row r="154">
      <c r="A154" s="27" t="n"/>
      <c r="B154" s="25" t="n"/>
      <c r="C154" s="25" t="n"/>
      <c r="D154" s="25" t="n"/>
      <c r="E154" s="26" t="n"/>
    </row>
    <row r="155">
      <c r="A155" s="27" t="n"/>
      <c r="B155" s="25" t="n"/>
      <c r="C155" s="25" t="n"/>
      <c r="D155" s="25" t="n"/>
      <c r="E155" s="26" t="n"/>
    </row>
    <row r="156">
      <c r="A156" s="27" t="n"/>
      <c r="B156" s="25" t="n"/>
      <c r="C156" s="25" t="n"/>
      <c r="D156" s="25" t="n"/>
      <c r="E156" s="26" t="n"/>
    </row>
    <row r="157">
      <c r="A157" s="27" t="n"/>
      <c r="B157" s="25" t="n"/>
      <c r="C157" s="25" t="n"/>
      <c r="D157" s="25" t="n"/>
      <c r="E157" s="26" t="n"/>
    </row>
    <row r="158">
      <c r="A158" s="27" t="n"/>
      <c r="B158" s="25" t="n"/>
      <c r="C158" s="25" t="n"/>
      <c r="D158" s="25" t="n"/>
      <c r="E158" s="26" t="n"/>
    </row>
    <row r="159">
      <c r="A159" s="27" t="n"/>
      <c r="B159" s="25" t="n"/>
      <c r="C159" s="25" t="n"/>
      <c r="D159" s="25" t="n"/>
      <c r="E159" s="26" t="n"/>
    </row>
    <row r="160">
      <c r="A160" s="27" t="n"/>
      <c r="B160" s="25" t="n"/>
      <c r="C160" s="25" t="n"/>
      <c r="D160" s="25" t="n"/>
      <c r="E160" s="26" t="n"/>
    </row>
    <row r="161">
      <c r="A161" s="27" t="n"/>
      <c r="B161" s="25" t="n"/>
      <c r="C161" s="25" t="n"/>
      <c r="D161" s="25" t="n"/>
      <c r="E161" s="26" t="n"/>
    </row>
    <row r="162">
      <c r="A162" s="27" t="n"/>
      <c r="B162" s="25" t="n"/>
      <c r="C162" s="25" t="n"/>
      <c r="D162" s="25" t="n"/>
      <c r="E162" s="26" t="n"/>
    </row>
    <row r="163">
      <c r="A163" s="27" t="n"/>
      <c r="B163" s="25" t="n"/>
      <c r="C163" s="25" t="n"/>
      <c r="D163" s="25" t="n"/>
      <c r="E163" s="26" t="n"/>
    </row>
    <row r="164">
      <c r="A164" s="27" t="n"/>
      <c r="B164" s="25" t="n"/>
      <c r="C164" s="25" t="n"/>
      <c r="D164" s="25" t="n"/>
      <c r="E164" s="26" t="n"/>
    </row>
    <row r="165">
      <c r="A165" s="27" t="n"/>
      <c r="B165" s="25" t="n"/>
      <c r="C165" s="25" t="n"/>
      <c r="D165" s="25" t="n"/>
      <c r="E165" s="26" t="n"/>
    </row>
    <row r="166">
      <c r="A166" s="27" t="n"/>
      <c r="B166" s="25" t="n"/>
      <c r="C166" s="25" t="n"/>
      <c r="D166" s="25" t="n"/>
      <c r="E166" s="26" t="n"/>
    </row>
    <row r="167">
      <c r="A167" s="27" t="n"/>
      <c r="B167" s="25" t="n"/>
      <c r="C167" s="25" t="n"/>
      <c r="D167" s="25" t="n"/>
      <c r="E167" s="26" t="n"/>
    </row>
    <row r="168">
      <c r="A168" s="27" t="n"/>
      <c r="B168" s="25" t="n"/>
      <c r="C168" s="25" t="n"/>
      <c r="D168" s="25" t="n"/>
      <c r="E168" s="26" t="n"/>
    </row>
    <row r="169">
      <c r="A169" s="27" t="n"/>
      <c r="B169" s="25" t="n"/>
      <c r="C169" s="25" t="n"/>
      <c r="D169" s="25" t="n"/>
      <c r="E169" s="26" t="n"/>
    </row>
    <row r="170">
      <c r="A170" s="27" t="n"/>
      <c r="B170" s="25" t="n"/>
      <c r="C170" s="25" t="n"/>
      <c r="D170" s="25" t="n"/>
      <c r="E170" s="26" t="n"/>
    </row>
    <row r="171">
      <c r="A171" s="27" t="n"/>
      <c r="B171" s="25" t="n"/>
      <c r="C171" s="25" t="n"/>
      <c r="D171" s="25" t="n"/>
      <c r="E171" s="26" t="n"/>
    </row>
    <row r="172">
      <c r="A172" s="27" t="n"/>
      <c r="B172" s="25" t="n"/>
      <c r="C172" s="25" t="n"/>
      <c r="D172" s="25" t="n"/>
      <c r="E172" s="26" t="n"/>
    </row>
    <row r="173">
      <c r="A173" s="27" t="n"/>
      <c r="B173" s="25" t="n"/>
      <c r="C173" s="25" t="n"/>
      <c r="D173" s="25" t="n"/>
      <c r="E173" s="26" t="n"/>
    </row>
    <row r="174">
      <c r="A174" s="27" t="n"/>
      <c r="B174" s="25" t="n"/>
      <c r="C174" s="25" t="n"/>
      <c r="D174" s="25" t="n"/>
      <c r="E174" s="26" t="n"/>
    </row>
    <row r="175">
      <c r="A175" s="27" t="n"/>
      <c r="B175" s="25" t="n"/>
      <c r="C175" s="25" t="n"/>
      <c r="D175" s="25" t="n"/>
      <c r="E175" s="26" t="n"/>
    </row>
    <row r="176">
      <c r="A176" s="27" t="n"/>
      <c r="B176" s="25" t="n"/>
      <c r="C176" s="25" t="n"/>
      <c r="D176" s="25" t="n"/>
      <c r="E176" s="26" t="n"/>
    </row>
    <row r="177">
      <c r="A177" s="27" t="n"/>
      <c r="B177" s="25" t="n"/>
      <c r="C177" s="25" t="n"/>
      <c r="D177" s="25" t="n"/>
      <c r="E177" s="26" t="n"/>
    </row>
    <row r="178">
      <c r="A178" s="27" t="n"/>
      <c r="B178" s="25" t="n"/>
      <c r="C178" s="25" t="n"/>
      <c r="D178" s="25" t="n"/>
      <c r="E178" s="26" t="n"/>
    </row>
    <row r="179">
      <c r="A179" s="27" t="n"/>
      <c r="B179" s="25" t="n"/>
      <c r="C179" s="25" t="n"/>
      <c r="D179" s="25" t="n"/>
      <c r="E179" s="26" t="n"/>
    </row>
    <row r="180">
      <c r="A180" s="27" t="n"/>
      <c r="B180" s="25" t="n"/>
      <c r="C180" s="25" t="n"/>
      <c r="D180" s="25" t="n"/>
      <c r="E180" s="26" t="n"/>
    </row>
    <row r="181">
      <c r="A181" s="27" t="n"/>
      <c r="B181" s="25" t="n"/>
      <c r="C181" s="25" t="n"/>
      <c r="D181" s="25" t="n"/>
      <c r="E181" s="26" t="n"/>
    </row>
    <row r="182">
      <c r="A182" s="27" t="n"/>
      <c r="B182" s="25" t="n"/>
      <c r="C182" s="25" t="n"/>
      <c r="D182" s="25" t="n"/>
      <c r="E182" s="26" t="n"/>
    </row>
    <row r="183">
      <c r="A183" s="27" t="n"/>
      <c r="B183" s="25" t="n"/>
      <c r="C183" s="25" t="n"/>
      <c r="D183" s="25" t="n"/>
      <c r="E183" s="26" t="n"/>
    </row>
    <row r="184">
      <c r="A184" s="27" t="n"/>
      <c r="B184" s="25" t="n"/>
      <c r="C184" s="25" t="n"/>
      <c r="D184" s="25" t="n"/>
      <c r="E184" s="26" t="n"/>
    </row>
    <row r="185">
      <c r="A185" s="27" t="n"/>
      <c r="B185" s="25" t="n"/>
      <c r="C185" s="25" t="n"/>
      <c r="D185" s="25" t="n"/>
      <c r="E185" s="26" t="n"/>
    </row>
    <row r="186">
      <c r="A186" s="27" t="n"/>
      <c r="B186" s="25" t="n"/>
      <c r="C186" s="25" t="n"/>
      <c r="D186" s="25" t="n"/>
      <c r="E186" s="26" t="n"/>
    </row>
    <row r="187">
      <c r="A187" s="27" t="n"/>
      <c r="B187" s="25" t="n"/>
      <c r="C187" s="25" t="n"/>
      <c r="D187" s="25" t="n"/>
      <c r="E187" s="26" t="n"/>
    </row>
    <row r="188">
      <c r="A188" s="27" t="n"/>
      <c r="B188" s="25" t="n"/>
      <c r="C188" s="25" t="n"/>
      <c r="D188" s="25" t="n"/>
      <c r="E188" s="26" t="n"/>
    </row>
    <row r="189">
      <c r="A189" s="27" t="n"/>
      <c r="B189" s="25" t="n"/>
      <c r="C189" s="25" t="n"/>
      <c r="D189" s="25" t="n"/>
      <c r="E189" s="26" t="n"/>
    </row>
    <row r="190">
      <c r="A190" s="27" t="n"/>
      <c r="B190" s="25" t="n"/>
      <c r="C190" s="25" t="n"/>
      <c r="D190" s="25" t="n"/>
      <c r="E190" s="26" t="n"/>
    </row>
    <row r="191">
      <c r="A191" s="27" t="n"/>
      <c r="B191" s="25" t="n"/>
      <c r="C191" s="25" t="n"/>
      <c r="D191" s="25" t="n"/>
      <c r="E191" s="26" t="n"/>
    </row>
    <row r="192">
      <c r="A192" s="27" t="n"/>
      <c r="B192" s="25" t="n"/>
      <c r="C192" s="25" t="n"/>
      <c r="D192" s="25" t="n"/>
      <c r="E192" s="26" t="n"/>
    </row>
    <row r="193">
      <c r="A193" s="27" t="n"/>
      <c r="B193" s="25" t="n"/>
      <c r="C193" s="25" t="n"/>
      <c r="D193" s="25" t="n"/>
      <c r="E193" s="26" t="n"/>
    </row>
    <row r="194">
      <c r="A194" s="27" t="n"/>
      <c r="B194" s="25" t="n"/>
      <c r="C194" s="25" t="n"/>
      <c r="D194" s="25" t="n"/>
      <c r="E194" s="26" t="n"/>
    </row>
    <row r="195">
      <c r="A195" s="27" t="n"/>
      <c r="B195" s="25" t="n"/>
      <c r="C195" s="25" t="n"/>
      <c r="D195" s="25" t="n"/>
      <c r="E195" s="26" t="n"/>
    </row>
    <row r="196">
      <c r="A196" s="27" t="n"/>
      <c r="B196" s="25" t="n"/>
      <c r="C196" s="25" t="n"/>
      <c r="D196" s="25" t="n"/>
      <c r="E196" s="26" t="n"/>
    </row>
    <row r="197">
      <c r="A197" s="27" t="n"/>
      <c r="B197" s="25" t="n"/>
      <c r="C197" s="25" t="n"/>
      <c r="D197" s="25" t="n"/>
      <c r="E197" s="26" t="n"/>
    </row>
    <row r="198">
      <c r="A198" s="27" t="n"/>
      <c r="B198" s="25" t="n"/>
      <c r="C198" s="25" t="n"/>
      <c r="D198" s="25" t="n"/>
      <c r="E198" s="26" t="n"/>
    </row>
    <row r="199">
      <c r="A199" s="27" t="n"/>
      <c r="B199" s="25" t="n"/>
      <c r="C199" s="25" t="n"/>
      <c r="D199" s="25" t="n"/>
      <c r="E199" s="26" t="n"/>
    </row>
    <row r="200">
      <c r="A200" s="27" t="n"/>
      <c r="B200" s="25" t="n"/>
      <c r="C200" s="25" t="n"/>
      <c r="D200" s="25" t="n"/>
      <c r="E200" s="26" t="n"/>
    </row>
    <row r="201">
      <c r="A201" s="27" t="n"/>
      <c r="B201" s="25" t="n"/>
      <c r="C201" s="25" t="n"/>
      <c r="D201" s="25" t="n"/>
      <c r="E201" s="26" t="n"/>
    </row>
  </sheetData>
  <autoFilter ref="A1:E201"/>
  <dataValidations count="2">
    <dataValidation sqref="B2:B201" showDropDown="0" showInputMessage="0" showErrorMessage="0" allowBlank="1" type="list">
      <formula1>=PROPERTIES!$A$2:$A$201</formula1>
    </dataValidation>
    <dataValidation sqref="C2:C201" showDropDown="0" showInputMessage="0" showErrorMessage="0" allowBlank="1" type="list">
      <formula1>"Repairs,Maintenance,Property Tax,Insurance,Management Fee,Utilities,Mortgage,Other"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2026-08-22T11:29:26Z</dcterms:created>
  <dcterms:modified xmlns:dcterms="http://purl.org/dc/terms/" xmlns:xsi="http://www.w3.org/2001/XMLSchema-instance" xsi:type="dcterms:W3CDTF">2026-08-22T11:29:26Z</dcterms:modified>
</cp:coreProperties>
</file>